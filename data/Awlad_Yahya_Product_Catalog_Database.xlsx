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
    </mc:Choice>
  </mc:AlternateContent>
  <xr:revisionPtr revIDLastSave="0" documentId="13_ncr:1_{6BE265F0-92C3-4568-8B34-246DB040B9B2}" xr6:coauthVersionLast="47" xr6:coauthVersionMax="47" xr10:uidLastSave="{00000000-0000-0000-0000-000000000000}"/>
  <bookViews>
    <workbookView xWindow="-120" yWindow="-120" windowWidth="29040" windowHeight="15840" activeTab="2" xr2:uid="{00000000-000D-0000-FFFF-FFFF00000000}"/>
  </bookViews>
  <sheets>
    <sheet name="_Lookups" sheetId="1" state="hidden" r:id="rId1"/>
    <sheet name="Categories" sheetId="2" r:id="rId2"/>
    <sheet name="Products" sheetId="3" r:id="rId3"/>
    <sheet name="ProductSpecs" sheetId="4" r:id="rId4"/>
    <sheet name="ProductImages" sheetId="5" r:id="rId5"/>
    <sheet name="ProductVariants" sheetId="6" r:id="rId6"/>
    <sheet name="WebsiteSettings" sheetId="7" r:id="rId7"/>
  </sheets>
  <definedNames>
    <definedName name="_xlnm._FilterDatabase" localSheetId="1" hidden="1">Categories!$A$1:$I$6</definedName>
    <definedName name="_xlnm._FilterDatabase" localSheetId="4" hidden="1">ProductImages!$A$1:$G$8</definedName>
    <definedName name="_xlnm._FilterDatabase" localSheetId="2" hidden="1">Products!$A$1:$AA$43</definedName>
    <definedName name="_xlnm._FilterDatabase" localSheetId="3" hidden="1">ProductSpecs!$A$1:$D$11</definedName>
    <definedName name="_xlnm._FilterDatabase" localSheetId="5" hidden="1">ProductVariants!$A$1:$H$7</definedName>
    <definedName name="_xlnm._FilterDatabase" localSheetId="6" hidden="1">WebsiteSettings!$A$1:$C$10</definedName>
  </definedNames>
  <calcPr calcId="181029"/>
</workbook>
</file>

<file path=xl/calcChain.xml><?xml version="1.0" encoding="utf-8"?>
<calcChain xmlns="http://schemas.openxmlformats.org/spreadsheetml/2006/main">
  <c r="E2" i="3" l="1"/>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V43" i="3"/>
  <c r="E43" i="3"/>
  <c r="V3" i="3"/>
  <c r="V2" i="3"/>
</calcChain>
</file>

<file path=xl/sharedStrings.xml><?xml version="1.0" encoding="utf-8"?>
<sst xmlns="http://schemas.openxmlformats.org/spreadsheetml/2006/main" count="675" uniqueCount="398">
  <si>
    <t>Status</t>
  </si>
  <si>
    <t>YesNo</t>
  </si>
  <si>
    <t>ImageType</t>
  </si>
  <si>
    <t>Active</t>
  </si>
  <si>
    <t>Available</t>
  </si>
  <si>
    <t>Yes</t>
  </si>
  <si>
    <t>Main</t>
  </si>
  <si>
    <t>Out of Stock</t>
  </si>
  <si>
    <t>No</t>
  </si>
  <si>
    <t>Gallery</t>
  </si>
  <si>
    <t>Coming Soon</t>
  </si>
  <si>
    <t>Detail</t>
  </si>
  <si>
    <t>Hidden</t>
  </si>
  <si>
    <t>Lifestyle</t>
  </si>
  <si>
    <t>CategoryID</t>
  </si>
  <si>
    <t>CategoryName</t>
  </si>
  <si>
    <t>CategoryDescription</t>
  </si>
  <si>
    <t>CategoryImage</t>
  </si>
  <si>
    <t>DisplayOrder</t>
  </si>
  <si>
    <t>Featured</t>
  </si>
  <si>
    <t>SEOTitle</t>
  </si>
  <si>
    <t>SEODescription</t>
  </si>
  <si>
    <t>BC</t>
  </si>
  <si>
    <t>كراسي حلاقة وكوافير</t>
  </si>
  <si>
    <t>/assets/categories/barber-chairs.webp</t>
  </si>
  <si>
    <t>كراسي حلاقة وكوافير | مصنع أولاد يحيى</t>
  </si>
  <si>
    <t>KC</t>
  </si>
  <si>
    <t>كراسي أطفال</t>
  </si>
  <si>
    <t>كراسي حلاقة مخصصة للأطفال بتصميمات جذابة وآمنة</t>
  </si>
  <si>
    <t>/assets/categories/kids-chairs.webp</t>
  </si>
  <si>
    <t>كراسي حلاقة أطفال | مصنع أولاد يحيى</t>
  </si>
  <si>
    <t>تشكيلة كراسي حلاقة أطفال بأمان تام وتصميمات تناسب صالونات الحلاقة.</t>
  </si>
  <si>
    <t>SH</t>
  </si>
  <si>
    <t>أحواض غسيل الشعر</t>
  </si>
  <si>
    <t>أحواض غسيل شعر وسيراميك متين لصالونات التجميل والحلاقة</t>
  </si>
  <si>
    <t>/assets/categories/shampoo-units.webp</t>
  </si>
  <si>
    <t>أحواض غسيل شعر وصالونات | أولاد يحيى</t>
  </si>
  <si>
    <t>CH</t>
  </si>
  <si>
    <t>شيزلونجات</t>
  </si>
  <si>
    <t>شيزلونجات مساج وتنظيف بشرة متعددة الاستخدامات</t>
  </si>
  <si>
    <t>/assets/categories/chaise-lounges.webp</t>
  </si>
  <si>
    <t>شيزلونجات صالونات ومراكز تجميل | أولاد يحيى</t>
  </si>
  <si>
    <t>شيزلونجات احترافية لصالونات التجميل ومراكز العناية.</t>
  </si>
  <si>
    <t>EQ</t>
  </si>
  <si>
    <t>تجهيزات ومعدات متكاملة لافتتاح وتجديد صالونات الحلاقة</t>
  </si>
  <si>
    <t>/assets/categories/equipment.webp</t>
  </si>
  <si>
    <t>تجهيزات ومعدات صالونات حلاقة | أولاد يحيى</t>
  </si>
  <si>
    <t>كافة مستلزمات وتجهيزات صالونات الحلاقة ومراكز التجميل من المصنع مباشرة.</t>
  </si>
  <si>
    <t>ProductID</t>
  </si>
  <si>
    <t>ProductCode</t>
  </si>
  <si>
    <t>ProductName</t>
  </si>
  <si>
    <t>ShortDescription</t>
  </si>
  <si>
    <t>FullDescription</t>
  </si>
  <si>
    <t>ProductStatus</t>
  </si>
  <si>
    <t>Price</t>
  </si>
  <si>
    <t>ShowPrice</t>
  </si>
  <si>
    <t>MainImage</t>
  </si>
  <si>
    <t>Image2</t>
  </si>
  <si>
    <t>Image3</t>
  </si>
  <si>
    <t>Image4</t>
  </si>
  <si>
    <t>Image5</t>
  </si>
  <si>
    <t>Specifications</t>
  </si>
  <si>
    <t>Materials</t>
  </si>
  <si>
    <t>AvailableColors</t>
  </si>
  <si>
    <t>CustomizationAvailable</t>
  </si>
  <si>
    <t>WhatsAppMessage</t>
  </si>
  <si>
    <t>Keywords</t>
  </si>
  <si>
    <t>CreatedDate</t>
  </si>
  <si>
    <t>LastUpdated</t>
  </si>
  <si>
    <t>BC-001</t>
  </si>
  <si>
    <t>/assets/products/barber-salon/BC-001/main.webp</t>
  </si>
  <si>
    <t>/assets/products/barber-salon/BC-001/angle-1.webp</t>
  </si>
  <si>
    <t>/assets/products/barber-salon/BC-001/angle-2.webp</t>
  </si>
  <si>
    <t>مضخة هيدروليك دائرية، دوران 360 درجة، إمالة حتى 135 درجة</t>
  </si>
  <si>
    <t>شاسيه حديد معالج، جلد صناعي عالي التحمل، فوم كثافة عالية</t>
  </si>
  <si>
    <t>أسود، بني، جملي</t>
  </si>
  <si>
    <t>كرسي حلاقة كلاسيك هيدروليك | مصنع أولاد يحيى</t>
  </si>
  <si>
    <t>احصل على كرسي حلاقة كلاسيك هيدروليك من مصنع أولاد يحيى. متانة عالية وتصميم مريح.</t>
  </si>
  <si>
    <t>كرسي حلاقة, كراسي صالونات, كراسي هيدروليك, أولاد يحيى</t>
  </si>
  <si>
    <t>2026-09-20</t>
  </si>
  <si>
    <t>BC-002</t>
  </si>
  <si>
    <t>/assets/products/barber-salon/BC-002/main.webp</t>
  </si>
  <si>
    <t>/assets/products/barber-salon/BC-002/side.webp</t>
  </si>
  <si>
    <t>جلد فاخر، قاعدة نيكل كروم</t>
  </si>
  <si>
    <t>أسود، رمادي، بيج</t>
  </si>
  <si>
    <t>كرسي كوافير عصري | مصنع أولاد يحيى</t>
  </si>
  <si>
    <t>كرسي كوافير وصالونات تجميل بتصميم حديث وجودة تصنيع مصرية فائقة.</t>
  </si>
  <si>
    <t>كرسي كوافير, كراسي تجميل, صالونات حريمي</t>
  </si>
  <si>
    <t>KC-001</t>
  </si>
  <si>
    <t>كرسي حلاقة مخصص للأطفال على شكل سيارة ألعاب.</t>
  </si>
  <si>
    <t>موديل اختباري لتوضيح منتجات الأطفال المزودة بأحزمة أمان وتأثيرات ضوئية وموسيقية لجذب الأطفال أثناء الحلاقة.</t>
  </si>
  <si>
    <t>/assets/products/kids/KC-001/main.webp</t>
  </si>
  <si>
    <t>/assets/products/kids/KC-001/front.webp</t>
  </si>
  <si>
    <t>حزام أمان، مضخة رفع هيدروليك، أضواء وأصوات ترفيهية</t>
  </si>
  <si>
    <t>فايبر جلاس مقوى، قاعدة حديد متينة</t>
  </si>
  <si>
    <t>أحمر، أزرق، أصفر</t>
  </si>
  <si>
    <t>كرسي حلاقة أطفال سيارة | مصنع أولاد يحيى</t>
  </si>
  <si>
    <t>كرسي حلاقة أطفال بتصميم جذاب وأمان تام لتسهيل عمل الحلاق وتسلية الأطفال.</t>
  </si>
  <si>
    <t>كرسي حلاقة أطفال, كراسي أطفال صالونات, أولاد يحيى</t>
  </si>
  <si>
    <t>SpecificationName</t>
  </si>
  <si>
    <t>SpecificationValue</t>
  </si>
  <si>
    <t>نوع المضخة</t>
  </si>
  <si>
    <t>هيدروليك زيت ثقيل</t>
  </si>
  <si>
    <t>زاوية الدوران</t>
  </si>
  <si>
    <t>360 درجة مع قفل أمان</t>
  </si>
  <si>
    <t>زاوية إمالة الظهر</t>
  </si>
  <si>
    <t>تصل إلى 135 درجة</t>
  </si>
  <si>
    <t>خامة القاعدة</t>
  </si>
  <si>
    <t>قاعدة دائرية ستانلس ستيل / نيكل كروم</t>
  </si>
  <si>
    <t>خامة التنجيد</t>
  </si>
  <si>
    <t>جلد صناعي معالج ضد السوائل والحرارة</t>
  </si>
  <si>
    <t>كثافة الفوم</t>
  </si>
  <si>
    <t>سفنج مضغوط عالي الكثافة (Soft/High Density)</t>
  </si>
  <si>
    <t>هيدروليك مع قاعدة نجمية</t>
  </si>
  <si>
    <t>أقصى حمولة</t>
  </si>
  <si>
    <t>180 كجم</t>
  </si>
  <si>
    <t>وسائل الأمان</t>
  </si>
  <si>
    <t>حزام أمان ثلاثي النقاط للأطفال</t>
  </si>
  <si>
    <t>مصدر الطاقة للأصوات</t>
  </si>
  <si>
    <t>بطارية قابلة لإعادة الشحن</t>
  </si>
  <si>
    <t>ImageID</t>
  </si>
  <si>
    <t>ImagePath</t>
  </si>
  <si>
    <t>AltText</t>
  </si>
  <si>
    <t>IMG-001</t>
  </si>
  <si>
    <t>كرسي حلاقة كلاسيك هيدروليك - المنظر الأمامي</t>
  </si>
  <si>
    <t>IMG-002</t>
  </si>
  <si>
    <t>كرسي حلاقة كلاسيك بزاوية جانبية مائلة</t>
  </si>
  <si>
    <t>IMG-003</t>
  </si>
  <si>
    <t>تفاصيل تنجيد المقعد والظهر وقاعدة الهيدروليك</t>
  </si>
  <si>
    <t>IMG-004</t>
  </si>
  <si>
    <t>كرسي كوافير صالون نسائي المنظر الرئيسي</t>
  </si>
  <si>
    <t>IMG-005</t>
  </si>
  <si>
    <t>كرسي كوافير المنظر الجانبي</t>
  </si>
  <si>
    <t>IMG-006</t>
  </si>
  <si>
    <t>كرسي حلاقة أطفال شكل سيارة باللون الأحمر</t>
  </si>
  <si>
    <t>IMG-007</t>
  </si>
  <si>
    <t>لوحة قيادة سيارة كرسي الأطفال وعجلة القيادة</t>
  </si>
  <si>
    <t>VariantID</t>
  </si>
  <si>
    <t>VariantName</t>
  </si>
  <si>
    <t>VariantType</t>
  </si>
  <si>
    <t>VariantValue</t>
  </si>
  <si>
    <t>AdditionalPrice</t>
  </si>
  <si>
    <t>VAR-001</t>
  </si>
  <si>
    <t>لون أسود ملكي</t>
  </si>
  <si>
    <t>Color</t>
  </si>
  <si>
    <t>Black</t>
  </si>
  <si>
    <t>/assets/products/barber-salon/BC-001/black.webp</t>
  </si>
  <si>
    <t>VAR-002</t>
  </si>
  <si>
    <t>لون بني كابتشينو</t>
  </si>
  <si>
    <t>Brown</t>
  </si>
  <si>
    <t>/assets/products/barber-salon/BC-001/brown.webp</t>
  </si>
  <si>
    <t>VAR-003</t>
  </si>
  <si>
    <t>قاعدة ستانلس ذهبي فخم</t>
  </si>
  <si>
    <t>BaseType</t>
  </si>
  <si>
    <t>Gold Chrome</t>
  </si>
  <si>
    <t>/assets/products/barber-salon/BC-001/base-gold.webp</t>
  </si>
  <si>
    <t>VAR-004</t>
  </si>
  <si>
    <t>لون رمادي فيراني</t>
  </si>
  <si>
    <t>Grey</t>
  </si>
  <si>
    <t>/assets/products/barber-salon/BC-002/grey.webp</t>
  </si>
  <si>
    <t>VAR-005</t>
  </si>
  <si>
    <t>لون أحمر رياضي</t>
  </si>
  <si>
    <t>Red</t>
  </si>
  <si>
    <t>/assets/products/kids/KC-001/red.webp</t>
  </si>
  <si>
    <t>VAR-006</t>
  </si>
  <si>
    <t>لون أزرق ملكي</t>
  </si>
  <si>
    <t>Blue</t>
  </si>
  <si>
    <t>/assets/products/kids/KC-001/blue.webp</t>
  </si>
  <si>
    <t>SettingKey</t>
  </si>
  <si>
    <t>SettingValue</t>
  </si>
  <si>
    <t>Description</t>
  </si>
  <si>
    <t>BusinessName</t>
  </si>
  <si>
    <t>مصنع أولاد يحيى لتصنيع كراسي الحلاقة</t>
  </si>
  <si>
    <t>الاسم الرسمي والكامل للمصنع</t>
  </si>
  <si>
    <t>BrandName</t>
  </si>
  <si>
    <t>Awlad Yahya</t>
  </si>
  <si>
    <t>الاسم التجاري المختصر بالإنجليزية</t>
  </si>
  <si>
    <t>Phone</t>
  </si>
  <si>
    <t>01008355616</t>
  </si>
  <si>
    <t>رقم الهاتف والاتصال المباشر لخدمة العملاء</t>
  </si>
  <si>
    <t>WhatsAppCatalog</t>
  </si>
  <si>
    <t>https://wa.me/c/201064116703</t>
  </si>
  <si>
    <t>رابط كتالوج واتساب التجاري لعرض المنتجات</t>
  </si>
  <si>
    <t>FacebookPage</t>
  </si>
  <si>
    <t>https://www.facebook.com/YahiaSonsCosmetics</t>
  </si>
  <si>
    <t>رابط الصفحة الرسمية على فيسبوك</t>
  </si>
  <si>
    <t>TelegramChannel</t>
  </si>
  <si>
    <t>https://t.me/YahiaSons</t>
  </si>
  <si>
    <t>رابط قناة التليجرام لمتابعة التحديثات والعروض</t>
  </si>
  <si>
    <t>Currency</t>
  </si>
  <si>
    <t>EGP</t>
  </si>
  <si>
    <t>عملة التسعير المعتمدة على الموقع</t>
  </si>
  <si>
    <t>DefaultShowPrice</t>
  </si>
  <si>
    <t>الحالة الافتراضية لعرض السعر في حال عدم تحديده بالمنتج</t>
  </si>
  <si>
    <t>AntigravityDataSourceVersion</t>
  </si>
  <si>
    <t>1.0</t>
  </si>
  <si>
    <t>إصدار هيكل ملف قاعدة البيانات المعتمد لنظام Antigravity</t>
  </si>
  <si>
    <t>مستلزمات وتجهيزات الصالونات</t>
  </si>
  <si>
    <t>كراسي حلاقة رجالي و كراسى كوافير حريمى وصالونات تجميل بمواصفات احترافية</t>
  </si>
  <si>
    <t>وحدات غسيل شعر متكاملة مع احواض بورسلين وخامات مقاومة للمياه.</t>
  </si>
  <si>
    <t>أفضل تشكيلة كراسي حلاقة هيدروليك وكوافير في مصر من مصنع أولاد يحيى بتصنيع عالي الجودة, كراسى حلاقه لوكس و ثابت و كراسى باكم.</t>
  </si>
  <si>
    <t>AY-01</t>
  </si>
  <si>
    <t>BC-003</t>
  </si>
  <si>
    <t>BC-004</t>
  </si>
  <si>
    <t>BC-005</t>
  </si>
  <si>
    <t>BC-006</t>
  </si>
  <si>
    <t>BC-007</t>
  </si>
  <si>
    <t>BC-008</t>
  </si>
  <si>
    <t>BC-009</t>
  </si>
  <si>
    <t>BC-010</t>
  </si>
  <si>
    <t>BC-011</t>
  </si>
  <si>
    <t>BC-012</t>
  </si>
  <si>
    <t>BC-013</t>
  </si>
  <si>
    <t>BC-014</t>
  </si>
  <si>
    <t>BC-016</t>
  </si>
  <si>
    <t>BC-017</t>
  </si>
  <si>
    <t>BC-018</t>
  </si>
  <si>
    <t>BC-019</t>
  </si>
  <si>
    <t>BC-020</t>
  </si>
  <si>
    <t>BC-021</t>
  </si>
  <si>
    <t>BC-022</t>
  </si>
  <si>
    <t>BC-023</t>
  </si>
  <si>
    <t>BC-024</t>
  </si>
  <si>
    <t>BC-025</t>
  </si>
  <si>
    <t>BC-026</t>
  </si>
  <si>
    <t>BC-028</t>
  </si>
  <si>
    <t>BC-029</t>
  </si>
  <si>
    <t>BC-030</t>
  </si>
  <si>
    <t>BC-031</t>
  </si>
  <si>
    <t>BC-032</t>
  </si>
  <si>
    <t>BC-033</t>
  </si>
  <si>
    <t>BC-034</t>
  </si>
  <si>
    <t>BC-035</t>
  </si>
  <si>
    <t>BC-036</t>
  </si>
  <si>
    <t>AY-02</t>
  </si>
  <si>
    <t>AY-025</t>
  </si>
  <si>
    <t>AY-03</t>
  </si>
  <si>
    <t>AY-04</t>
  </si>
  <si>
    <t>AY-05</t>
  </si>
  <si>
    <t>AY-06</t>
  </si>
  <si>
    <t>AY-07</t>
  </si>
  <si>
    <t>AY-08</t>
  </si>
  <si>
    <t>AY-09</t>
  </si>
  <si>
    <t>AY-11</t>
  </si>
  <si>
    <t>AY-12</t>
  </si>
  <si>
    <t>AY-13</t>
  </si>
  <si>
    <t>AY-13B</t>
  </si>
  <si>
    <t>AY-14</t>
  </si>
  <si>
    <t>AY-14C</t>
  </si>
  <si>
    <t>AY-15</t>
  </si>
  <si>
    <t>AY-16</t>
  </si>
  <si>
    <t>AY-17</t>
  </si>
  <si>
    <t>AY-19</t>
  </si>
  <si>
    <t>AY-20</t>
  </si>
  <si>
    <t>AY-21</t>
  </si>
  <si>
    <t>AY-22</t>
  </si>
  <si>
    <t>AY-23</t>
  </si>
  <si>
    <t>AY-23B</t>
  </si>
  <si>
    <t>AY-23GOLD</t>
  </si>
  <si>
    <t>AY-26</t>
  </si>
  <si>
    <t>AY-27</t>
  </si>
  <si>
    <t>AY-28</t>
  </si>
  <si>
    <t>AY-29</t>
  </si>
  <si>
    <t>AY-34</t>
  </si>
  <si>
    <t>AY-35</t>
  </si>
  <si>
    <t>AY-B1</t>
  </si>
  <si>
    <t>AY-C01</t>
  </si>
  <si>
    <t>AY-LUX30</t>
  </si>
  <si>
    <t>AY-LUX31</t>
  </si>
  <si>
    <t>كرسى ثابت عادى</t>
  </si>
  <si>
    <t>كرسى لوكس دواسه عريضه</t>
  </si>
  <si>
    <t>شبك ذهبى</t>
  </si>
  <si>
    <t>كرسى دبابه ثابت دواسه كوتش</t>
  </si>
  <si>
    <t>كرسى دبابه بيلف دواسه كوتش</t>
  </si>
  <si>
    <t>دبابه فك وتركيب بالكامل دواسه كاوتش</t>
  </si>
  <si>
    <t>تفاحه دواسه معدن</t>
  </si>
  <si>
    <t>كرسى تفاحه دواسه كاوتش</t>
  </si>
  <si>
    <t>تمساح دواسه معدن</t>
  </si>
  <si>
    <t>كريستال دواسه معدن</t>
  </si>
  <si>
    <t>كريستال دواسه كوتش</t>
  </si>
  <si>
    <t>موزه باكم كبير ذهبى</t>
  </si>
  <si>
    <t>كرسى موزه</t>
  </si>
  <si>
    <t>موزه حريمى ذهبى</t>
  </si>
  <si>
    <t>موزه باكم كبير فضى</t>
  </si>
  <si>
    <t>موزه حريمى فضى</t>
  </si>
  <si>
    <t>مربع اقتصادى فضى اسود</t>
  </si>
  <si>
    <t>مربع اقتصادى فضى جلد مختلف</t>
  </si>
  <si>
    <t>مربع اقتصادى ذهبى</t>
  </si>
  <si>
    <t>ملكى حديث فضى</t>
  </si>
  <si>
    <t>ملكى حديث ذهبى</t>
  </si>
  <si>
    <t>كرسى الفنجان</t>
  </si>
  <si>
    <t>شازلونج</t>
  </si>
  <si>
    <t>كرسى قاعده نجمه للشازلونج</t>
  </si>
  <si>
    <t>ملكى حديث</t>
  </si>
  <si>
    <t>طياره بنتلى</t>
  </si>
  <si>
    <t>كرسى الورده</t>
  </si>
  <si>
    <t>CH-01</t>
  </si>
  <si>
    <t>CH-02</t>
  </si>
  <si>
    <t>كرسى بدكير بالبف</t>
  </si>
  <si>
    <t>حوض غسيل شعبى</t>
  </si>
  <si>
    <t>حوض غسيل بورسلين ذهبى</t>
  </si>
  <si>
    <t>حوض غسيل بورسلين فضى</t>
  </si>
  <si>
    <t>حوض غسيل بورسلين بدون اكسسوار</t>
  </si>
  <si>
    <t>AY-P01</t>
  </si>
  <si>
    <t>AY-W01</t>
  </si>
  <si>
    <t>AY-W02</t>
  </si>
  <si>
    <t>AY-W03</t>
  </si>
  <si>
    <t>AY-W04</t>
  </si>
  <si>
    <t>CH-03</t>
  </si>
  <si>
    <t>SH-01</t>
  </si>
  <si>
    <t>SH-02</t>
  </si>
  <si>
    <t>SH-03</t>
  </si>
  <si>
    <t>SH-04</t>
  </si>
  <si>
    <t>AY-K01</t>
  </si>
  <si>
    <t xml:space="preserve">كرسي حلاقة أطفال شكل سيارة </t>
  </si>
  <si>
    <t>كرسى لوكس دواسه كوتش ثابت</t>
  </si>
  <si>
    <t>الكرسى الدبابه الثابت , خامات قويه و يعيش سنين, مناسب لصالونات الحلاقة الرجالي.</t>
  </si>
  <si>
    <t>كرسي حلاقة رجالي , الكرسى الدبابه صُمم خصيصًا ليتحمل ضغط الشغل الشاق والمستمر داخل الصالونات المزدحمة. يعتمد الكرسي على شاسيه حديد متين وقاعدة ثابتة تمنحه أقصى درجات الاتزان والأمان أثناء العمل اليومي، مع خامات عالية الجودة  تضمن بقاءه لسنوات طويلة دون تأثر. مزود بتنجيد مريح وفوم كثيف لتوفير راحة مثالية للزبون أثناء جلسات الحلاقة الطويلة، ليكون الاستثمار الأضمن والعملي لكل صاحب صالون يبحث عن القوة والاعتمادية دون قلق من الأعطال.</t>
  </si>
  <si>
    <t>مربع يد استانليس باكم كبير فضى</t>
  </si>
  <si>
    <t>مربع يد استانليس باكم حريمى فضى</t>
  </si>
  <si>
    <t>مربع يد استانليس باكم حريمى ذهبى</t>
  </si>
  <si>
    <t>مربع يد استالنليس باكم كبير ذهبى</t>
  </si>
  <si>
    <t>كرسي رويال هيدروليك مدور (Royal Round) ذهبى</t>
  </si>
  <si>
    <t>كرسي رويال هيدروليك مدور (Royal Round) فضى</t>
  </si>
  <si>
    <t>ملكى مصرى كبير استانليس بالكامل فضى</t>
  </si>
  <si>
    <t>ملكى مصرى كبير استانليس بالكامل ذهبى</t>
  </si>
  <si>
    <t>كرسى لوكس دواسه عريضه - كرسى عملى و اقتصادى</t>
  </si>
  <si>
    <t>كرسي حلاقة رجالي , الكرسى اللوكس , صُمم خصيصًا ليتحمل ضغط الشغل الشاق والمستمر داخل الصالونات المزدحمة. يعتمد الكرسي على شاسيه حديد متين وقاعدة ثابتة تمنحه أقصى درجات الاتزان والأمان أثناء العمل اليومي، مع خامات عالية الجودة  تضمن بقاءه لسنوات طويلة دون تأثر. مزود بتنجيد مريح وفوم كثيف لتوفير راحة مثالية للزبون أثناء جلسات الحلاقة الطويلة، ليكون الاستثمار الأضمن والعملي لكل صاحب صالون يبحث عن القوة والاعتمادية دون قلق من الأعطال.</t>
  </si>
  <si>
    <t>كرسي حريمي موديل "الشبك" – لمسة شياكة وفخامة لصالونك من مصنع أولاد يحيى!
كرسي كوافير بتصميم عصري راقي مع طلاء PVD دهبي فخم وعالي الجودة، مزود بهيدروليك قوي وسلس، وتنجيد إسفنج عالي الكثافة مع جلد متين سهل التنظيف وضد التقشير ليتحمل ضغط الشغل اليومي ويدوم معاك سنين.</t>
  </si>
  <si>
    <t>كرسي كوافير حريمي موديل "الشبك" الدهبي | مصنع أولاد يحيى لتصنيع كراسي الحلاقة
لو بتدوري/بتدور على قطعة تجمع بين الشياكة المطلقة والعملية والتحمل، كرسي "الشبك" هو الاختيار المثالي اللي هيضيف لمسة ديكور فاخرة لأي بيوتي سنتر أو صالون حريمي.
أهم مميزات ومواصفات الكرسي:
تصميم عصري مميز: ظهر بتصميم شبكي أنيق ومودرن مع خياطة كابوتنيه راقية على المقعد والمسند بتدي شكل شيك جداً ومريح في نفس الوقت.
طلاء دهبي PVD عالي الجودة: معالج بالكامل ضد الصدأ والخدوش ومقاوم للرطوبة والمواد الكيماوية عشان يفضل محتفظ بلمعته ورونقه على المدى الطويل.
هيدروليك قوي وسلس: بيتحمل الأوزان الثقيلة وبيديك تحكم مرن في الرفع والنزول بكل سهولة أثناء الشغل.
تنجيد وإسفنج عالي الكثافة: مريح جداً للزبونة في الجلسات الطويلة، ومبيبطش ولا يغير شكله مع كثرة الاستخدام.
جلد ممتاز وفاخر: خامة متينة جداً، ضد التقشير وسهل التنظيف والتعقيم بعد كل عميلة بدون ما يتأثر.
قاعدة متزنة وثابتة: صينية دائرية دهبية واسعة تضمن ثبات الكرسي 100% مع مسند مريح للقدمين.</t>
  </si>
  <si>
    <t>كرسي كوافير حريمي هيدروليك موديل الشبك دهبي PVD | مصنع أولاد يحيى</t>
  </si>
  <si>
    <t>احصل على كرسي كوافير حريمي موديل الشبك هيدروليك من مصنع أولاد يحيى، طلاء PVD دهبي فاخر عالي الجودة ضد الصدأ، إسفنج عالي الكثافة وجلد متين سهل التنظيف وضد التقشير بأفضل سعر.</t>
  </si>
  <si>
    <t>كرسي كوافير، كرسي كوافير حريمي، كرسي الشبك، كراسي صالونات تجميل، كراسي بيوتي سنتر، كرسي هيدروليك دهبي، طلاء PVD، مصنع أولاد يحيى، لوازم كوافير، تجهيز صالونات حريمي</t>
  </si>
  <si>
    <t>أسود، بني، جملي, اوف وايت, كشمير</t>
  </si>
  <si>
    <t>هيدروليك رفع وخفض سلس، دوران 360 درجة، إمكانية إمالة الظهر لمستويات متعددة، مسند رأس متحرك وقابل للتعديل، مسند قدم متين ومريح</t>
  </si>
  <si>
    <t>شاسيه حديد متين عالي التحمل، قاعدة دائرية كروم ثقيلة مضادة للانزلاق، جلد مستورد فاخر ضد التقشير وسهل التنظيف، إسفنج سوفت عالي الكثافة</t>
  </si>
  <si>
    <t>مرحباً، أود الاستفسار عن رسى التفاحه (كرسي حلاقة رجالي موديل التفاحة هيدروليك) المعروض على موقعكم.</t>
  </si>
  <si>
    <t>كرسي حلاقة رجالي هيدروليك موديل التفاحة | مصنع أولاد يحيى</t>
  </si>
  <si>
    <t>اشتري كرسي حلاقة رجالي موديل التفاحة هيدروليك من مصنع أولاد يحيى، شاسيه حديد قوي، إمالة ظهر ومسند رأس متحرك، إسفنج عالي الكثافة وجلد فاخر يتحمل ضغط الشغل بأفضل سعر مصنع.</t>
  </si>
  <si>
    <t>كرسي حلاقة، كرسي حلاقة رجالي، كرسي التفاحة، كراسي صالونات حلاقة، كرسي هيدروليك، مصنع أولاد يحيى، تجهيز صالونات رجالي، كراسي حلاقة هيدروليك، لوازم كوافير وحلاقة</t>
  </si>
  <si>
    <t>كرسي حلاقة رجالي موديل "التفاحة" – الراحة والقوة اللي صالونك محتاجها من مصنع أولاد يحيى!
كرسي مصمم خصيصاً ليتحمل أقصى درجات ضغط الشغل اليومي، مزود بهيدروليك قوي وسلس، وإمكانية إمالة الظهر ومسند رأس متحرك لجلسات حلاقة وتنظيف بشرة مريحة جداً لزبونك، مع تنجيد إسفنج عالي الكثافة وجلد مستورد متين ومقاوم للتقشير.</t>
  </si>
  <si>
    <t>كرسي حلاقة رجالي هيدروليك موديل "التفاحة" | تصنيع مصنع أولاد يحيى لكراسي الحلاقة
لو بتجهز صالون حلاقة رجالي وبتبحث عن المتانة والعملية والراحة الفائقة، موديل "التفاحة" هو خيارك الأنسب والأكثر اعتمادية؛ تصميم مريح ومدروس يدعم ظهر الزبون ويديك حرية وسهولة كاملة أثناء الشغل.
أهم مواصفات ومميزات الموديل:
هيدروليك فائق التحمل: بستم هيدروليك قوي ناعم في الحركة وسهل الرفع والنزول بدون أي مجهود، مع دوران 360 درجة وثبات تام.
إمالة الظهر وتعدد الأوضاع: إمكانية نزول الظهر بزاوية مريحة جداً لخدمات الدقن، الفتلة، وماسكات تنظيف البشرة.
مسند رأس متحرك (مخدة): قابلة للتعديل والرفع والنزول لتناسب كل أطوال الزبائن وتوفير أقصى درجات الراحة للرقبة.
تنجيد وإسفنج صب عالي الكثافة: إسفنج مريح وعملي يحتفظ بمرونته وارتفاعه ومبيبطش مع كثرة الاستخدام والسنوات.
جلد صناعي عالي الجودة: خامة ممتازة مقاومة للتشقق والتقشير، سهلة المسح والتعقيم المستمر ومقاومة للمياه والمواد المستخدمة في الصالون.
قاعدة حديد مدعمة بالكروم: صينية دائرية ثقيلة تضمن اتزان الكرسي التام وعدم اهتزازه مع مسند قدم قوي ومريح.
📞 للحجز والاستفسار وطلب الأوردر مباشرة:
تواصل معنا عبر الهاتف أو واتساب: 201008355616+
🌐 لمشاهدة أحدث موديلاتنا وتحميل الكتالوج بالكامل:
https://wa.me/c/201064116703
📲 صفحتنا الرسمية على فيسبوك:
https://www.facebook.com/YahiaSonsCosmetics
📢 تابع عروضنا وخامات المصنع على التليجرام:
https://t.me/YahiaSons</t>
  </si>
  <si>
    <t>مضخة هيدروليك دائرية قوية، دوران 360 درجة، نظام إمالة ظهر هيدروليكي متعدد المستويات، مسند رأس قابل للتعديل والفك، مسند أرجل متين مدعم بكاوتش مانع للانزلاق</t>
  </si>
  <si>
    <t>شاسيه حديد ثقيل معالج عالي الصلابة، إكسسوارات وقاعدة صينية نيكل كروم ثقيلة ، فوم وإسفنج كابوتنيه عالي الكثافة، جلد فاخر مستورد معالج ضد التقشير والتشقق</t>
  </si>
  <si>
    <t>مرحباً، أود الاستفسار عن كود المنتج: AY-05 (الكرسي الملكي المصري الكلاسيك هيدروليك) المعروض على موقعكم.</t>
  </si>
  <si>
    <t>كرسي حلاقة رجالي كلاسيك الملكي المصري هيدروليك | مصنع أولاد يحيى</t>
  </si>
  <si>
    <t>اكتشف الكرسي الملكي المصري الكلاسيك من مصنع أولاد يحيى، تصميم بريميوم يجمع بين فخامة الكلاسيك وقوة التحمل، هيدروليك عالي الجودة ينافس المستورد وبأفضل سعر مصنع في مصر.</t>
  </si>
  <si>
    <t>كرسي حلاقة كلاسيك، الكرسي الملكي المصري، كراسي حلاقة رجالي، كرسي حلاقة هيدروليك، مصنع أولاد يحيى، تجهيز صالونات حلاقة، كراسي باربر شوب، كراسي حلاقة مستوردة ومحلية</t>
  </si>
  <si>
    <t>الكرسي الملكي المصري الكلاسيك – الفخامة البريميوم اللي حققت المعادلة الصعبة من مصنع أولاد يحيى!
تحفة فنية بتصميم كلاسيكي ملكي يضيف هيبة وأناقة لأي باربر شوب؛ جودة تصنيع ومتانة تفوق المستورد، مزود ببستم هيدروليك سلس، إمالة ظهر كاملة لخدمات الدقن والتنظيف، وتنجيد كابوتنيه بإسفنج عالي الكثافة وجلد متين ضد التقشير بأعلى قيمة مقابل أفضل سعر.</t>
  </si>
  <si>
    <t>الكرسي الملكي المصري الكلاسيك | مصنع أولاد يحيى لتصنيع كراسي الحلاقة
الموديل اللي أثبت كفاءته وحقق المعادلة الصعبة: فخامة المظهر + قوة التحمل + سعر المصنع المباشر. صُمم الكرسي الملكي ليوفر تجربة حلاقة استثنائية من الدرجة الأولى لزبونك مع سهولة وتحكم كامل للحلاق أثناء ساعات العمل الطويلة.
أهم مواصفات ومميزات الموديل الملكي:
تصميم كلاسيكي ملكي (Premium Look): ظهر دائري أنيق وتطريز كابوتنيه ملوكي غائر يمنح الصالون طابع الفخامة والرقي، متوفر بألوان كلاسيكية متعددة (أسود مط، هافان، نبيتي معتق، بيج).
هيدروليك فائق الاعتمادية: بستم رفع وخفض ناعم وقوي جداً يتحمل الأوزان الثقيلة مع دوران كامل 360 درجة وثبات تام.
إمالة مرنة للظهر: ذراع تحكم جانبي يتيح نزول الظهر بزاوية استلقاء مريحة ومثالية لجلسات الدقن، الفتلة، والماسك وتنظيف البشرة.
مسند رأس مريح: مخدة رأس قابلة للرفع، التنزيل، أو الفك تماماً حسب طول العميل وراحة الرقبة.
تنجيد وإسفنج عالي الكثافة: إسفنج صب متين لا يهبط بمرور الوقت ويوفر راحة تدوم طوال فترة الجلسة.
جلد مستورد ضد التقشير: خامة جلد ممتازة شديدة التحمل ومقاومة للاحتكاك وسهلة التنظيف والتعقيم اليومي.
قاعدة صينية متزنة: قاعدة دائرية ثقيلة تمنع أي اهتزاز أثناء الشغل مع دعامات كاوتش سفلية لحماية الأرضيات ومنع الانزلاق.
📞 للحجز والاستفسار وطلب الأوردر:
تواصل معنا مباشرة عبر الهاتف أو واتساب: 201008355616+
🌐 لمشاهدة باقي موديلات المصنع والكتالوج بالكامل:
https://wa.me/c/201064116703
📲 تابعونا على صفحة الفيسبوك:
https://www.facebook.com/YahiaSonsCosmetics
📢 قناتنا الرسمية على التليجرام:
https://t.me/YahiaSons</t>
  </si>
  <si>
    <t>D:\website\website\assets\products\BC-03\main.webp</t>
  </si>
  <si>
    <t>D:\website\website\assets\products\BC-03\angle-1.jpg</t>
  </si>
  <si>
    <t>D:\website\website\assets\products\BC-02\main.webp</t>
  </si>
  <si>
    <t>D:\website\website\assets\products\BC-09\main.webp</t>
  </si>
  <si>
    <t>D:\website\website\assets\products\BC-01\main.webp</t>
  </si>
  <si>
    <t>D:\website\website\assets\products\BC-010\main.webp</t>
  </si>
  <si>
    <t>D:\website\website\assets\products\BC-012\main.webp</t>
  </si>
  <si>
    <t>D:\website\website\assets\products\BC-013\main.webp</t>
  </si>
  <si>
    <t>D:\website\website\assets\products\BC-014\main.webp</t>
  </si>
  <si>
    <t>D:\website\website\assets\products\BC-016\main.webp</t>
  </si>
  <si>
    <t>D:\website\website\assets\products\BC-018\main.webp</t>
  </si>
  <si>
    <t>D:\website\website\assets\products\BC-012\angle-1.jpg</t>
  </si>
  <si>
    <t>D:\website\website\assets\products\BC-019\main.webp</t>
  </si>
  <si>
    <t>D:\website\website\assets\products\BC-021\main.webp</t>
  </si>
  <si>
    <t>D:\website\website\assets\products\BC-022\main.webp</t>
  </si>
  <si>
    <t>D:\website\website\assets\products\BC-023\main.webp</t>
  </si>
  <si>
    <t>D:\website\website\assets\products\BC-024\main.webp</t>
  </si>
  <si>
    <t>D:\website\website\assets\products\BC-025\main.webp</t>
  </si>
  <si>
    <t>D:\website\website\assets\products\BC-026\main.webp</t>
  </si>
  <si>
    <t>D:\website\website\assets\products\BC-028\main.webp</t>
  </si>
  <si>
    <t>D:\website\website\assets\products\BC-020\main.webp</t>
  </si>
  <si>
    <t>D:\website\website\assets\products\BC-023\detail.jpg</t>
  </si>
  <si>
    <t>D:\website\website\assets\products\BC-023\angle-1.jpg</t>
  </si>
  <si>
    <t>D:\website\website\assets\products\BC-024\angle-1.jpg</t>
  </si>
  <si>
    <t>D:\website\website\assets\products\BC-025\angle-1.jpg</t>
  </si>
  <si>
    <t>D:\website\website\assets\products\BC-029\main.webp</t>
  </si>
  <si>
    <t>D:\website\website\assets\products\BC-030\main.webp</t>
  </si>
  <si>
    <t>D:\website\website\assets\products\BC-031\main.webp</t>
  </si>
  <si>
    <t>D:\website\website\assets\products\BC-032\main.webp</t>
  </si>
  <si>
    <t>D:\website\website\assets\products\BC-033\main.webp</t>
  </si>
  <si>
    <t>D:\website\website\assets\products\BC-034\main.webp</t>
  </si>
  <si>
    <t>D:\website\website\assets\products\CH-01\main.webp</t>
  </si>
  <si>
    <t>D:\website\website\assets\products\CH-02\main.webp</t>
  </si>
  <si>
    <t>D:\website\website\assets\products\BC-031\angle-1.jpg</t>
  </si>
  <si>
    <t>D:\website\website\assets\products\BC-031\angle-2.jpg</t>
  </si>
  <si>
    <t>D:\website\website\assets\products\BC-032\angle-1.jpg</t>
  </si>
  <si>
    <t>D:\website\website\assets\products\BC-032\angle-2.jpg</t>
  </si>
  <si>
    <t>D:\website\website\assets\products\BC-034\angle-1.jpg</t>
  </si>
  <si>
    <t>D:\website\website\assets\products\BC-036\main.webp</t>
  </si>
  <si>
    <t>D:\website\website\assets\products\CH-03\main.webp</t>
  </si>
  <si>
    <t>D:\website\website\assets\products\SH-01\main.webp</t>
  </si>
  <si>
    <t>D:\website\website\assets\products\SH-02\main.webp</t>
  </si>
  <si>
    <t>D:\website\website\assets\products\CH-02\angle-1.jpg</t>
  </si>
  <si>
    <t>D:\website\website\assets\products\SH-03\main.webp</t>
  </si>
  <si>
    <t>D:\website\website\assets\products\SH-04\main.webp</t>
  </si>
  <si>
    <t>D:\website\website\assets\products\KC-001\main.webp</t>
  </si>
  <si>
    <t>D:\website\website\assets\products\KC-001\angle-1.jpg</t>
  </si>
  <si>
    <t>D:\website\website\assets\products\KC-001\angle-2.jpg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</si>
</sst>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name val="Segoe UI"/>
    </font>
    <font>
      <sz val="10"/>
      <color rgb="FF0F172A"/>
      <name val="Segoe UI"/>
    </font>
    <font>
      <b/>
      <sz val="11"/>
      <color rgb="FFFFFFFF"/>
      <name val="Segoe UI"/>
    </font>
    <font>
      <sz val="10"/>
      <color rgb="FF0F172A"/>
      <name val="Consolas"/>
    </font>
    <font>
      <sz val="8"/>
      <name val="Calibri"/>
      <family val="2"/>
      <scheme val="minor"/>
    </font>
    <font>
      <sz val="10"/>
      <color rgb="FF0F172A"/>
      <name val="Consolas"/>
      <family val="3"/>
    </font>
    <font>
      <sz val="10"/>
      <color rgb="FF0F172A"/>
      <name val="Segoe UI"/>
      <family val="2"/>
    </font>
    <font>
      <b/>
      <sz val="11"/>
      <color rgb="FFFFFFFF"/>
      <name val="Segoe UI"/>
      <family val="2"/>
    </font>
  </fonts>
  <fills count="4">
    <fill>
      <patternFill patternType="none"/>
    </fill>
    <fill>
      <patternFill patternType="gray125"/>
    </fill>
    <fill>
      <patternFill patternType="solid">
        <fgColor rgb="FF1E293B"/>
        <bgColor rgb="FF1E293B"/>
      </patternFill>
    </fill>
    <fill>
      <patternFill patternType="solid">
        <fgColor rgb="FFF8FAFC"/>
        <bgColor rgb="FFF8FAFC"/>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 fillId="3" borderId="1" xfId="0" applyFont="1" applyFill="1" applyBorder="1" applyAlignment="1">
      <alignment horizontal="right" vertical="center"/>
    </xf>
    <xf numFmtId="0" fontId="4" fillId="3" borderId="1" xfId="0" applyFont="1" applyFill="1" applyBorder="1" applyAlignment="1">
      <alignment horizontal="left" vertical="center"/>
    </xf>
    <xf numFmtId="0" fontId="2" fillId="3" borderId="1" xfId="0" applyFont="1" applyFill="1" applyBorder="1" applyAlignment="1">
      <alignment horizontal="center" vertical="center"/>
    </xf>
    <xf numFmtId="0" fontId="4" fillId="0" borderId="1" xfId="0" applyFont="1" applyBorder="1" applyAlignment="1">
      <alignment horizontal="center" vertical="center"/>
    </xf>
    <xf numFmtId="0" fontId="2" fillId="0" borderId="1" xfId="0" applyFont="1" applyBorder="1" applyAlignment="1">
      <alignment horizontal="right" vertical="center"/>
    </xf>
    <xf numFmtId="0" fontId="4" fillId="0" borderId="1" xfId="0" applyFont="1" applyBorder="1" applyAlignment="1">
      <alignment horizontal="left" vertical="center"/>
    </xf>
    <xf numFmtId="0" fontId="2" fillId="0" borderId="1" xfId="0" applyFont="1" applyBorder="1" applyAlignment="1">
      <alignment horizontal="center" vertical="center"/>
    </xf>
    <xf numFmtId="4" fontId="2" fillId="3" borderId="1" xfId="0" applyNumberFormat="1" applyFont="1" applyFill="1" applyBorder="1" applyAlignment="1">
      <alignment horizontal="right" vertical="center"/>
    </xf>
    <xf numFmtId="4" fontId="2" fillId="0" borderId="1" xfId="0" applyNumberFormat="1" applyFont="1" applyBorder="1" applyAlignment="1">
      <alignment horizontal="right" vertical="center"/>
    </xf>
    <xf numFmtId="0" fontId="2" fillId="0" borderId="1" xfId="0" applyFont="1" applyBorder="1" applyAlignment="1">
      <alignment horizontal="right" vertical="center" wrapText="1"/>
    </xf>
    <xf numFmtId="0" fontId="6" fillId="0" borderId="1" xfId="0" applyFont="1" applyBorder="1" applyAlignment="1">
      <alignment horizontal="left" vertical="center"/>
    </xf>
    <xf numFmtId="0" fontId="7" fillId="0" borderId="1" xfId="0" applyFont="1" applyBorder="1" applyAlignment="1">
      <alignment horizontal="right" vertical="center"/>
    </xf>
    <xf numFmtId="0" fontId="7" fillId="0" borderId="1" xfId="0" applyFont="1" applyBorder="1" applyAlignment="1">
      <alignment horizontal="right" vertical="center" wrapText="1"/>
    </xf>
    <xf numFmtId="0" fontId="8" fillId="2" borderId="1" xfId="0" applyFont="1" applyFill="1" applyBorder="1" applyAlignment="1">
      <alignment horizontal="center" vertical="center" wrapText="1"/>
    </xf>
    <xf numFmtId="0" fontId="6" fillId="3"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workbookViewId="0"/>
  </sheetViews>
  <sheetFormatPr defaultRowHeight="15" x14ac:dyDescent="0.25"/>
  <sheetData>
    <row r="1" spans="1:4" x14ac:dyDescent="0.25">
      <c r="A1" s="1" t="s">
        <v>0</v>
      </c>
      <c r="B1" s="1" t="s">
        <v>1</v>
      </c>
      <c r="C1" s="1" t="s">
        <v>2</v>
      </c>
      <c r="D1" s="1" t="s">
        <v>3</v>
      </c>
    </row>
    <row r="2" spans="1:4" x14ac:dyDescent="0.25">
      <c r="A2" s="2" t="s">
        <v>4</v>
      </c>
      <c r="B2" s="2" t="s">
        <v>5</v>
      </c>
      <c r="C2" s="2" t="s">
        <v>6</v>
      </c>
      <c r="D2" s="2" t="s">
        <v>5</v>
      </c>
    </row>
    <row r="3" spans="1:4" x14ac:dyDescent="0.25">
      <c r="A3" s="2" t="s">
        <v>7</v>
      </c>
      <c r="B3" s="2" t="s">
        <v>8</v>
      </c>
      <c r="C3" s="2" t="s">
        <v>9</v>
      </c>
      <c r="D3" s="2" t="s">
        <v>8</v>
      </c>
    </row>
    <row r="4" spans="1:4" x14ac:dyDescent="0.25">
      <c r="A4" s="2" t="s">
        <v>10</v>
      </c>
      <c r="C4" s="2" t="s">
        <v>11</v>
      </c>
    </row>
    <row r="5" spans="1:4" x14ac:dyDescent="0.25">
      <c r="A5" s="2" t="s">
        <v>12</v>
      </c>
      <c r="C5" s="2"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
  <sheetViews>
    <sheetView workbookViewId="0">
      <pane ySplit="1" topLeftCell="A2" activePane="bottomLeft" state="frozen"/>
      <selection pane="bottomLeft" activeCell="I3" sqref="I3"/>
    </sheetView>
  </sheetViews>
  <sheetFormatPr defaultRowHeight="15" x14ac:dyDescent="0.25"/>
  <cols>
    <col min="1" max="1" width="14" customWidth="1"/>
    <col min="2" max="2" width="25" customWidth="1"/>
    <col min="3" max="3" width="45" customWidth="1"/>
    <col min="4" max="4" width="38" customWidth="1"/>
    <col min="5" max="5" width="14" customWidth="1"/>
    <col min="6" max="7" width="12" customWidth="1"/>
    <col min="8" max="8" width="35" customWidth="1"/>
    <col min="9" max="9" width="45" customWidth="1"/>
  </cols>
  <sheetData>
    <row r="1" spans="1:9" ht="27.95" customHeight="1" x14ac:dyDescent="0.25">
      <c r="A1" s="3" t="s">
        <v>14</v>
      </c>
      <c r="B1" s="3" t="s">
        <v>15</v>
      </c>
      <c r="C1" s="3" t="s">
        <v>16</v>
      </c>
      <c r="D1" s="3" t="s">
        <v>17</v>
      </c>
      <c r="E1" s="3" t="s">
        <v>18</v>
      </c>
      <c r="F1" s="3" t="s">
        <v>3</v>
      </c>
      <c r="G1" s="3" t="s">
        <v>19</v>
      </c>
      <c r="H1" s="3" t="s">
        <v>20</v>
      </c>
      <c r="I1" s="3" t="s">
        <v>21</v>
      </c>
    </row>
    <row r="2" spans="1:9" ht="21.95" customHeight="1" x14ac:dyDescent="0.25">
      <c r="A2" s="4" t="s">
        <v>22</v>
      </c>
      <c r="B2" s="5" t="s">
        <v>23</v>
      </c>
      <c r="C2" s="5" t="s">
        <v>198</v>
      </c>
      <c r="D2" s="6" t="s">
        <v>24</v>
      </c>
      <c r="E2" s="7">
        <v>1</v>
      </c>
      <c r="F2" s="7" t="s">
        <v>5</v>
      </c>
      <c r="G2" s="7" t="s">
        <v>5</v>
      </c>
      <c r="H2" s="5" t="s">
        <v>25</v>
      </c>
      <c r="I2" s="5" t="s">
        <v>200</v>
      </c>
    </row>
    <row r="3" spans="1:9" ht="21.95" customHeight="1" x14ac:dyDescent="0.25">
      <c r="A3" s="8" t="s">
        <v>26</v>
      </c>
      <c r="B3" s="9" t="s">
        <v>27</v>
      </c>
      <c r="C3" s="9" t="s">
        <v>28</v>
      </c>
      <c r="D3" s="10" t="s">
        <v>29</v>
      </c>
      <c r="E3" s="11">
        <v>2</v>
      </c>
      <c r="F3" s="11" t="s">
        <v>5</v>
      </c>
      <c r="G3" s="11" t="s">
        <v>8</v>
      </c>
      <c r="H3" s="9" t="s">
        <v>30</v>
      </c>
      <c r="I3" s="9" t="s">
        <v>31</v>
      </c>
    </row>
    <row r="4" spans="1:9" ht="21.95" customHeight="1" x14ac:dyDescent="0.25">
      <c r="A4" s="4" t="s">
        <v>32</v>
      </c>
      <c r="B4" s="5" t="s">
        <v>33</v>
      </c>
      <c r="C4" s="5" t="s">
        <v>34</v>
      </c>
      <c r="D4" s="6" t="s">
        <v>35</v>
      </c>
      <c r="E4" s="7">
        <v>3</v>
      </c>
      <c r="F4" s="7" t="s">
        <v>5</v>
      </c>
      <c r="G4" s="7" t="s">
        <v>5</v>
      </c>
      <c r="H4" s="5" t="s">
        <v>36</v>
      </c>
      <c r="I4" s="5" t="s">
        <v>199</v>
      </c>
    </row>
    <row r="5" spans="1:9" ht="21.95" customHeight="1" x14ac:dyDescent="0.25">
      <c r="A5" s="8" t="s">
        <v>37</v>
      </c>
      <c r="B5" s="9" t="s">
        <v>38</v>
      </c>
      <c r="C5" s="9" t="s">
        <v>39</v>
      </c>
      <c r="D5" s="10" t="s">
        <v>40</v>
      </c>
      <c r="E5" s="11">
        <v>4</v>
      </c>
      <c r="F5" s="11" t="s">
        <v>5</v>
      </c>
      <c r="G5" s="11" t="s">
        <v>8</v>
      </c>
      <c r="H5" s="9" t="s">
        <v>41</v>
      </c>
      <c r="I5" s="9" t="s">
        <v>42</v>
      </c>
    </row>
    <row r="6" spans="1:9" ht="21.95" customHeight="1" x14ac:dyDescent="0.25">
      <c r="A6" s="4" t="s">
        <v>43</v>
      </c>
      <c r="B6" s="5" t="s">
        <v>197</v>
      </c>
      <c r="C6" s="5" t="s">
        <v>44</v>
      </c>
      <c r="D6" s="6" t="s">
        <v>45</v>
      </c>
      <c r="E6" s="7">
        <v>5</v>
      </c>
      <c r="F6" s="7" t="s">
        <v>5</v>
      </c>
      <c r="G6" s="7" t="s">
        <v>8</v>
      </c>
      <c r="H6" s="5" t="s">
        <v>46</v>
      </c>
      <c r="I6" s="5" t="s">
        <v>47</v>
      </c>
    </row>
  </sheetData>
  <autoFilter ref="A1:I6" xr:uid="{00000000-0009-0000-0000-000001000000}"/>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100-000000000000}">
          <x14:formula1>
            <xm:f>_Lookups!$B$2:$B$3</xm:f>
          </x14:formula1>
          <xm:sqref>F2:G100 G2:G500 I2:I500 L2:L500 U2:U500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43"/>
  <sheetViews>
    <sheetView tabSelected="1" workbookViewId="0">
      <pane xSplit="3" ySplit="2" topLeftCell="I21" activePane="bottomRight" state="frozen"/>
      <selection pane="topRight" activeCell="D1" sqref="D1"/>
      <selection pane="bottomLeft" activeCell="A3" sqref="A3"/>
      <selection pane="bottomRight" activeCell="N1" sqref="N1"/>
    </sheetView>
  </sheetViews>
  <sheetFormatPr defaultRowHeight="15" x14ac:dyDescent="0.25"/>
  <cols>
    <col min="1" max="1" width="14" customWidth="1"/>
    <col min="2" max="2" width="16" customWidth="1"/>
    <col min="3" max="3" width="28" customWidth="1"/>
    <col min="4" max="4" width="14" customWidth="1"/>
    <col min="5" max="5" width="24" customWidth="1"/>
    <col min="6" max="6" width="35" customWidth="1"/>
    <col min="7" max="7" width="45" customWidth="1"/>
    <col min="8" max="8" width="15" customWidth="1"/>
    <col min="9" max="9" width="12" customWidth="1"/>
    <col min="10" max="11" width="14" customWidth="1"/>
    <col min="12" max="12" width="13" customWidth="1"/>
    <col min="13" max="14" width="57.28515625" customWidth="1"/>
    <col min="15" max="15" width="35" customWidth="1"/>
    <col min="16" max="17" width="25" customWidth="1"/>
    <col min="18" max="19" width="35" customWidth="1"/>
    <col min="20" max="20" width="20" customWidth="1"/>
    <col min="21" max="21" width="22" customWidth="1"/>
    <col min="22" max="22" width="50" customWidth="1"/>
    <col min="23" max="23" width="35" customWidth="1"/>
    <col min="24" max="24" width="45" customWidth="1"/>
    <col min="25" max="25" width="35" customWidth="1"/>
    <col min="26" max="27" width="15" customWidth="1"/>
  </cols>
  <sheetData>
    <row r="1" spans="1:27" ht="27.95" customHeight="1" x14ac:dyDescent="0.25">
      <c r="A1" s="18" t="s">
        <v>48</v>
      </c>
      <c r="B1" s="3" t="s">
        <v>49</v>
      </c>
      <c r="C1" s="3" t="s">
        <v>50</v>
      </c>
      <c r="D1" s="3" t="s">
        <v>14</v>
      </c>
      <c r="E1" s="3" t="s">
        <v>15</v>
      </c>
      <c r="F1" s="3" t="s">
        <v>51</v>
      </c>
      <c r="G1" s="3" t="s">
        <v>52</v>
      </c>
      <c r="H1" s="3" t="s">
        <v>53</v>
      </c>
      <c r="I1" s="3" t="s">
        <v>19</v>
      </c>
      <c r="J1" s="3" t="s">
        <v>18</v>
      </c>
      <c r="K1" s="3" t="s">
        <v>54</v>
      </c>
      <c r="L1" s="3" t="s">
        <v>55</v>
      </c>
      <c r="M1" s="3" t="s">
        <v>56</v>
      </c>
      <c r="N1" s="3" t="s">
        <v>57</v>
      </c>
      <c r="O1" s="3" t="s">
        <v>58</v>
      </c>
      <c r="P1" s="3" t="s">
        <v>59</v>
      </c>
      <c r="Q1" s="3" t="s">
        <v>60</v>
      </c>
      <c r="R1" s="3" t="s">
        <v>61</v>
      </c>
      <c r="S1" s="3" t="s">
        <v>62</v>
      </c>
      <c r="T1" s="3" t="s">
        <v>63</v>
      </c>
      <c r="U1" s="3" t="s">
        <v>64</v>
      </c>
      <c r="V1" s="3" t="s">
        <v>65</v>
      </c>
      <c r="W1" s="3" t="s">
        <v>20</v>
      </c>
      <c r="X1" s="3" t="s">
        <v>21</v>
      </c>
      <c r="Y1" s="3" t="s">
        <v>66</v>
      </c>
      <c r="Z1" s="3" t="s">
        <v>67</v>
      </c>
      <c r="AA1" s="3" t="s">
        <v>68</v>
      </c>
    </row>
    <row r="2" spans="1:27" ht="21.95" customHeight="1" x14ac:dyDescent="0.25">
      <c r="A2" s="4" t="s">
        <v>69</v>
      </c>
      <c r="B2" t="s">
        <v>201</v>
      </c>
      <c r="C2" t="s">
        <v>269</v>
      </c>
      <c r="D2" s="4" t="s">
        <v>22</v>
      </c>
      <c r="E2" s="5" t="str">
        <f>IFERROR(VLOOKUP(D2, Categories!A:B, 2, FALSE), "")</f>
        <v>كراسي حلاقة وكوافير</v>
      </c>
      <c r="F2" s="5" t="s">
        <v>316</v>
      </c>
      <c r="G2" s="5" t="s">
        <v>317</v>
      </c>
      <c r="H2" s="7" t="s">
        <v>4</v>
      </c>
      <c r="I2" s="7" t="s">
        <v>8</v>
      </c>
      <c r="J2" s="7">
        <v>11</v>
      </c>
      <c r="K2">
        <v>2650</v>
      </c>
      <c r="L2" s="7" t="s">
        <v>5</v>
      </c>
      <c r="M2" s="19" t="s">
        <v>354</v>
      </c>
      <c r="N2" s="6"/>
      <c r="O2" s="6"/>
      <c r="P2" s="6"/>
      <c r="Q2" s="6"/>
      <c r="R2" s="5"/>
      <c r="S2" s="5" t="s">
        <v>74</v>
      </c>
      <c r="T2" s="5" t="s">
        <v>75</v>
      </c>
      <c r="U2" s="7" t="s">
        <v>5</v>
      </c>
      <c r="V2" s="6" t="str">
        <f>"مرحبًا، أود الاستفسار عن كود المنتج: " &amp; B2 &amp; " (" &amp; C2 &amp; ") المعروض على موقعكم."</f>
        <v>مرحبًا، أود الاستفسار عن كود المنتج: AY-01 (كرسى ثابت عادى) المعروض على موقعكم.</v>
      </c>
      <c r="W2" s="5" t="s">
        <v>76</v>
      </c>
      <c r="X2" s="5" t="s">
        <v>77</v>
      </c>
      <c r="Y2" s="6" t="s">
        <v>78</v>
      </c>
      <c r="Z2" s="7" t="s">
        <v>79</v>
      </c>
      <c r="AA2" s="7" t="s">
        <v>79</v>
      </c>
    </row>
    <row r="3" spans="1:27" ht="21.95" customHeight="1" x14ac:dyDescent="0.25">
      <c r="A3" s="8" t="s">
        <v>80</v>
      </c>
      <c r="B3" t="s">
        <v>234</v>
      </c>
      <c r="C3" t="s">
        <v>270</v>
      </c>
      <c r="D3" s="8" t="s">
        <v>22</v>
      </c>
      <c r="E3" s="5" t="str">
        <f>IFERROR(VLOOKUP(D3, Categories!A:B, 2, FALSE), "")</f>
        <v>كراسي حلاقة وكوافير</v>
      </c>
      <c r="F3" s="9" t="s">
        <v>326</v>
      </c>
      <c r="G3" s="9" t="s">
        <v>327</v>
      </c>
      <c r="H3" s="11" t="s">
        <v>4</v>
      </c>
      <c r="I3" s="11" t="s">
        <v>8</v>
      </c>
      <c r="J3" s="11">
        <v>12</v>
      </c>
      <c r="K3">
        <v>2900</v>
      </c>
      <c r="L3" s="11" t="s">
        <v>5</v>
      </c>
      <c r="M3" s="15" t="s">
        <v>352</v>
      </c>
      <c r="N3" s="10"/>
      <c r="O3" s="10"/>
      <c r="P3" s="10"/>
      <c r="Q3" s="10"/>
      <c r="R3" s="9"/>
      <c r="S3" s="9" t="s">
        <v>83</v>
      </c>
      <c r="T3" s="9" t="s">
        <v>84</v>
      </c>
      <c r="U3" s="11" t="s">
        <v>5</v>
      </c>
      <c r="V3" s="10" t="str">
        <f>"مرحبًا، أود الاستفسار عن كود المنتج: " &amp; B3 &amp; " (" &amp; C3 &amp; ") المعروض على موقعكم."</f>
        <v>مرحبًا، أود الاستفسار عن كود المنتج: AY-02 (كرسى لوكس دواسه عريضه) المعروض على موقعكم.</v>
      </c>
      <c r="W3" s="9" t="s">
        <v>85</v>
      </c>
      <c r="X3" s="9" t="s">
        <v>86</v>
      </c>
      <c r="Y3" s="10" t="s">
        <v>87</v>
      </c>
      <c r="Z3" s="11" t="s">
        <v>79</v>
      </c>
      <c r="AA3" s="11" t="s">
        <v>79</v>
      </c>
    </row>
    <row r="4" spans="1:27" ht="21.95" customHeight="1" x14ac:dyDescent="0.25">
      <c r="A4" s="4" t="s">
        <v>202</v>
      </c>
      <c r="B4" t="s">
        <v>235</v>
      </c>
      <c r="C4" t="s">
        <v>271</v>
      </c>
      <c r="D4" s="4" t="s">
        <v>22</v>
      </c>
      <c r="E4" s="5" t="str">
        <f>IFERROR(VLOOKUP(D4, Categories!A:B, 2, FALSE), "")</f>
        <v>كراسي حلاقة وكوافير</v>
      </c>
      <c r="F4" s="14" t="s">
        <v>328</v>
      </c>
      <c r="G4" s="14" t="s">
        <v>329</v>
      </c>
      <c r="H4" s="11" t="s">
        <v>4</v>
      </c>
      <c r="I4" s="11" t="s">
        <v>5</v>
      </c>
      <c r="J4" s="11">
        <v>5</v>
      </c>
      <c r="K4">
        <v>6000</v>
      </c>
      <c r="L4" s="11" t="s">
        <v>5</v>
      </c>
      <c r="M4" s="15" t="s">
        <v>350</v>
      </c>
      <c r="N4" s="15" t="s">
        <v>351</v>
      </c>
      <c r="O4" s="10"/>
      <c r="P4" s="10"/>
      <c r="Q4" s="10"/>
      <c r="R4" s="9" t="s">
        <v>73</v>
      </c>
      <c r="S4" s="9"/>
      <c r="T4" s="5" t="s">
        <v>333</v>
      </c>
      <c r="U4" s="11" t="s">
        <v>5</v>
      </c>
      <c r="V4" s="10"/>
      <c r="W4" s="9" t="s">
        <v>330</v>
      </c>
      <c r="X4" s="9" t="s">
        <v>331</v>
      </c>
      <c r="Y4" s="10" t="s">
        <v>332</v>
      </c>
      <c r="Z4" s="11" t="s">
        <v>79</v>
      </c>
      <c r="AA4" s="7" t="s">
        <v>79</v>
      </c>
    </row>
    <row r="5" spans="1:27" ht="21.95" customHeight="1" x14ac:dyDescent="0.25">
      <c r="A5" s="8" t="s">
        <v>203</v>
      </c>
      <c r="B5" t="s">
        <v>236</v>
      </c>
      <c r="C5" t="s">
        <v>272</v>
      </c>
      <c r="D5" s="8" t="s">
        <v>22</v>
      </c>
      <c r="E5" s="5" t="str">
        <f>IFERROR(VLOOKUP(D5, Categories!A:B, 2, FALSE), "")</f>
        <v>كراسي حلاقة وكوافير</v>
      </c>
      <c r="F5" s="9"/>
      <c r="G5" s="9"/>
      <c r="H5" s="11" t="s">
        <v>12</v>
      </c>
      <c r="I5" s="11"/>
      <c r="J5" s="11"/>
      <c r="K5">
        <v>3400</v>
      </c>
      <c r="L5" s="11" t="s">
        <v>5</v>
      </c>
      <c r="M5" s="10"/>
      <c r="N5" s="10"/>
      <c r="O5" s="10"/>
      <c r="P5" s="10"/>
      <c r="Q5" s="10"/>
      <c r="R5" s="9"/>
      <c r="S5" s="9"/>
      <c r="T5" s="9"/>
      <c r="U5" s="11"/>
      <c r="V5" s="10"/>
      <c r="W5" s="9"/>
      <c r="X5" s="9"/>
      <c r="Y5" s="10"/>
      <c r="Z5" s="11" t="s">
        <v>79</v>
      </c>
      <c r="AA5" s="11" t="s">
        <v>79</v>
      </c>
    </row>
    <row r="6" spans="1:27" ht="21.95" customHeight="1" x14ac:dyDescent="0.25">
      <c r="A6" s="4" t="s">
        <v>204</v>
      </c>
      <c r="B6" t="s">
        <v>237</v>
      </c>
      <c r="C6" t="s">
        <v>273</v>
      </c>
      <c r="D6" s="4" t="s">
        <v>22</v>
      </c>
      <c r="E6" s="5" t="str">
        <f>IFERROR(VLOOKUP(D6, Categories!A:B, 2, FALSE), "")</f>
        <v>كراسي حلاقة وكوافير</v>
      </c>
      <c r="F6" s="9"/>
      <c r="G6" s="9"/>
      <c r="H6" s="11" t="s">
        <v>12</v>
      </c>
      <c r="I6" s="11"/>
      <c r="J6" s="11"/>
      <c r="K6">
        <v>3650</v>
      </c>
      <c r="L6" s="11" t="s">
        <v>5</v>
      </c>
      <c r="M6" s="10"/>
      <c r="N6" s="10"/>
      <c r="O6" s="10"/>
      <c r="P6" s="10"/>
      <c r="Q6" s="10"/>
      <c r="R6" s="9"/>
      <c r="S6" s="9"/>
      <c r="T6" s="9"/>
      <c r="U6" s="11"/>
      <c r="V6" s="10"/>
      <c r="W6" s="9"/>
      <c r="X6" s="9"/>
      <c r="Y6" s="10"/>
      <c r="Z6" s="11" t="s">
        <v>79</v>
      </c>
      <c r="AA6" s="7" t="s">
        <v>79</v>
      </c>
    </row>
    <row r="7" spans="1:27" ht="21.95" customHeight="1" x14ac:dyDescent="0.25">
      <c r="A7" s="8" t="s">
        <v>205</v>
      </c>
      <c r="B7" t="s">
        <v>238</v>
      </c>
      <c r="C7" t="s">
        <v>315</v>
      </c>
      <c r="D7" s="8" t="s">
        <v>22</v>
      </c>
      <c r="E7" s="5" t="str">
        <f>IFERROR(VLOOKUP(D7, Categories!A:B, 2, FALSE), "")</f>
        <v>كراسي حلاقة وكوافير</v>
      </c>
      <c r="F7" s="9"/>
      <c r="G7" s="9"/>
      <c r="H7" s="11" t="s">
        <v>12</v>
      </c>
      <c r="I7" s="11"/>
      <c r="J7" s="11"/>
      <c r="K7">
        <v>3500</v>
      </c>
      <c r="L7" s="11" t="s">
        <v>5</v>
      </c>
      <c r="M7" s="10"/>
      <c r="N7" s="10"/>
      <c r="O7" s="10"/>
      <c r="P7" s="10"/>
      <c r="Q7" s="10"/>
      <c r="R7" s="9"/>
      <c r="S7" s="9"/>
      <c r="T7" s="9"/>
      <c r="U7" s="11"/>
      <c r="V7" s="10"/>
      <c r="W7" s="9"/>
      <c r="X7" s="9"/>
      <c r="Y7" s="10"/>
      <c r="Z7" s="11" t="s">
        <v>79</v>
      </c>
      <c r="AA7" s="11" t="s">
        <v>79</v>
      </c>
    </row>
    <row r="8" spans="1:27" ht="21.95" customHeight="1" x14ac:dyDescent="0.25">
      <c r="A8" s="4" t="s">
        <v>206</v>
      </c>
      <c r="B8" t="s">
        <v>239</v>
      </c>
      <c r="C8" t="s">
        <v>274</v>
      </c>
      <c r="D8" s="4" t="s">
        <v>22</v>
      </c>
      <c r="E8" s="5" t="str">
        <f>IFERROR(VLOOKUP(D8, Categories!A:B, 2, FALSE), "")</f>
        <v>كراسي حلاقة وكوافير</v>
      </c>
      <c r="F8" s="9"/>
      <c r="G8" s="9"/>
      <c r="H8" s="11" t="s">
        <v>12</v>
      </c>
      <c r="I8" s="11"/>
      <c r="J8" s="11"/>
      <c r="K8">
        <v>3700</v>
      </c>
      <c r="L8" s="11" t="s">
        <v>5</v>
      </c>
      <c r="M8" s="10"/>
      <c r="N8" s="10"/>
      <c r="O8" s="10"/>
      <c r="P8" s="10"/>
      <c r="Q8" s="10"/>
      <c r="R8" s="9"/>
      <c r="S8" s="9"/>
      <c r="T8" s="9"/>
      <c r="U8" s="11"/>
      <c r="V8" s="10"/>
      <c r="W8" s="9"/>
      <c r="X8" s="9"/>
      <c r="Y8" s="10"/>
      <c r="Z8" s="11" t="s">
        <v>79</v>
      </c>
      <c r="AA8" s="7" t="s">
        <v>79</v>
      </c>
    </row>
    <row r="9" spans="1:27" ht="21.95" customHeight="1" x14ac:dyDescent="0.25">
      <c r="A9" s="8" t="s">
        <v>207</v>
      </c>
      <c r="B9" t="s">
        <v>240</v>
      </c>
      <c r="C9" t="s">
        <v>275</v>
      </c>
      <c r="D9" s="8" t="s">
        <v>22</v>
      </c>
      <c r="E9" s="5" t="str">
        <f>IFERROR(VLOOKUP(D9, Categories!A:B, 2, FALSE), "")</f>
        <v>كراسي حلاقة وكوافير</v>
      </c>
      <c r="F9" s="9"/>
      <c r="G9" s="9"/>
      <c r="H9" s="11" t="s">
        <v>12</v>
      </c>
      <c r="I9" s="11"/>
      <c r="J9" s="11"/>
      <c r="K9">
        <v>5400</v>
      </c>
      <c r="L9" s="11" t="s">
        <v>5</v>
      </c>
      <c r="M9" s="10"/>
      <c r="N9" s="10"/>
      <c r="O9" s="10"/>
      <c r="P9" s="10"/>
      <c r="Q9" s="10"/>
      <c r="R9" s="9"/>
      <c r="S9" s="9"/>
      <c r="T9" s="9"/>
      <c r="U9" s="11"/>
      <c r="V9" s="10"/>
      <c r="W9" s="9"/>
      <c r="X9" s="9"/>
      <c r="Y9" s="10"/>
      <c r="Z9" s="11" t="s">
        <v>79</v>
      </c>
      <c r="AA9" s="11" t="s">
        <v>79</v>
      </c>
    </row>
    <row r="10" spans="1:27" ht="21.95" customHeight="1" x14ac:dyDescent="0.25">
      <c r="A10" s="4" t="s">
        <v>208</v>
      </c>
      <c r="B10" t="s">
        <v>241</v>
      </c>
      <c r="C10" t="s">
        <v>276</v>
      </c>
      <c r="D10" s="4" t="s">
        <v>22</v>
      </c>
      <c r="E10" s="5" t="str">
        <f>IFERROR(VLOOKUP(D10, Categories!A:B, 2, FALSE), "")</f>
        <v>كراسي حلاقة وكوافير</v>
      </c>
      <c r="F10" s="14" t="s">
        <v>340</v>
      </c>
      <c r="G10" s="14" t="s">
        <v>341</v>
      </c>
      <c r="H10" s="11" t="s">
        <v>4</v>
      </c>
      <c r="I10" s="11" t="s">
        <v>5</v>
      </c>
      <c r="J10" s="11">
        <v>6</v>
      </c>
      <c r="K10">
        <v>5500</v>
      </c>
      <c r="L10" s="11" t="s">
        <v>5</v>
      </c>
      <c r="M10" s="15" t="s">
        <v>353</v>
      </c>
      <c r="N10" s="10"/>
      <c r="O10" s="10"/>
      <c r="P10" s="10"/>
      <c r="Q10" s="10"/>
      <c r="R10" s="9" t="s">
        <v>334</v>
      </c>
      <c r="S10" s="9" t="s">
        <v>335</v>
      </c>
      <c r="T10" s="9" t="s">
        <v>333</v>
      </c>
      <c r="U10" s="11" t="s">
        <v>5</v>
      </c>
      <c r="V10" s="10" t="s">
        <v>336</v>
      </c>
      <c r="W10" s="9" t="s">
        <v>337</v>
      </c>
      <c r="X10" s="9" t="s">
        <v>338</v>
      </c>
      <c r="Y10" s="10" t="s">
        <v>339</v>
      </c>
      <c r="Z10" s="11" t="s">
        <v>79</v>
      </c>
      <c r="AA10" s="7" t="s">
        <v>79</v>
      </c>
    </row>
    <row r="11" spans="1:27" ht="21.95" customHeight="1" x14ac:dyDescent="0.25">
      <c r="A11" s="8" t="s">
        <v>209</v>
      </c>
      <c r="B11" t="s">
        <v>242</v>
      </c>
      <c r="C11" t="s">
        <v>277</v>
      </c>
      <c r="D11" s="8" t="s">
        <v>22</v>
      </c>
      <c r="E11" s="5" t="str">
        <f>IFERROR(VLOOKUP(D11, Categories!A:B, 2, FALSE), "")</f>
        <v>كراسي حلاقة وكوافير</v>
      </c>
      <c r="F11" s="9"/>
      <c r="G11" s="9"/>
      <c r="H11" s="11"/>
      <c r="I11" s="11"/>
      <c r="J11" s="11">
        <v>7</v>
      </c>
      <c r="K11">
        <v>5400</v>
      </c>
      <c r="L11" s="11" t="s">
        <v>5</v>
      </c>
      <c r="M11" s="15" t="s">
        <v>355</v>
      </c>
      <c r="N11" s="10"/>
      <c r="O11" s="10"/>
      <c r="P11" s="10"/>
      <c r="Q11" s="10"/>
      <c r="R11" s="9"/>
      <c r="S11" s="9"/>
      <c r="T11" s="9"/>
      <c r="U11" s="11"/>
      <c r="V11" s="10"/>
      <c r="W11" s="9"/>
      <c r="X11" s="9"/>
      <c r="Y11" s="10"/>
      <c r="Z11" s="11" t="s">
        <v>79</v>
      </c>
      <c r="AA11" s="11" t="s">
        <v>79</v>
      </c>
    </row>
    <row r="12" spans="1:27" ht="21.95" customHeight="1" x14ac:dyDescent="0.25">
      <c r="A12" s="4" t="s">
        <v>210</v>
      </c>
      <c r="B12" t="s">
        <v>243</v>
      </c>
      <c r="C12" t="s">
        <v>278</v>
      </c>
      <c r="D12" s="4" t="s">
        <v>22</v>
      </c>
      <c r="E12" s="5" t="str">
        <f>IFERROR(VLOOKUP(D12, Categories!A:B, 2, FALSE), "")</f>
        <v>كراسي حلاقة وكوافير</v>
      </c>
      <c r="F12" s="9"/>
      <c r="G12" s="9"/>
      <c r="H12" s="11" t="s">
        <v>12</v>
      </c>
      <c r="I12" s="11"/>
      <c r="J12" s="11"/>
      <c r="K12">
        <v>5800</v>
      </c>
      <c r="L12" s="11" t="s">
        <v>5</v>
      </c>
      <c r="M12" s="10"/>
      <c r="N12" s="10"/>
      <c r="O12" s="10"/>
      <c r="P12" s="10"/>
      <c r="Q12" s="10"/>
      <c r="R12" s="9"/>
      <c r="S12" s="9"/>
      <c r="T12" s="9"/>
      <c r="U12" s="11"/>
      <c r="V12" s="10"/>
      <c r="W12" s="9"/>
      <c r="X12" s="9"/>
      <c r="Y12" s="10"/>
      <c r="Z12" s="11" t="s">
        <v>79</v>
      </c>
      <c r="AA12" s="7" t="s">
        <v>79</v>
      </c>
    </row>
    <row r="13" spans="1:27" ht="21.95" customHeight="1" x14ac:dyDescent="0.25">
      <c r="A13" s="8" t="s">
        <v>211</v>
      </c>
      <c r="B13" t="s">
        <v>244</v>
      </c>
      <c r="C13" t="s">
        <v>279</v>
      </c>
      <c r="D13" s="8" t="s">
        <v>22</v>
      </c>
      <c r="E13" s="5" t="str">
        <f>IFERROR(VLOOKUP(D13, Categories!A:B, 2, FALSE), "")</f>
        <v>كراسي حلاقة وكوافير</v>
      </c>
      <c r="F13" s="9"/>
      <c r="G13" s="9"/>
      <c r="H13" s="11"/>
      <c r="I13" s="11"/>
      <c r="J13" s="11">
        <v>8</v>
      </c>
      <c r="K13">
        <v>5900</v>
      </c>
      <c r="L13" s="11" t="s">
        <v>5</v>
      </c>
      <c r="M13" s="15" t="s">
        <v>356</v>
      </c>
      <c r="N13" s="10"/>
      <c r="O13" s="10"/>
      <c r="P13" s="10"/>
      <c r="Q13" s="10"/>
      <c r="R13" s="9"/>
      <c r="S13" s="9"/>
      <c r="T13" s="9"/>
      <c r="U13" s="11"/>
      <c r="V13" s="10"/>
      <c r="W13" s="9"/>
      <c r="X13" s="9"/>
      <c r="Y13" s="10"/>
      <c r="Z13" s="11" t="s">
        <v>79</v>
      </c>
      <c r="AA13" s="11" t="s">
        <v>79</v>
      </c>
    </row>
    <row r="14" spans="1:27" ht="21.95" customHeight="1" x14ac:dyDescent="0.25">
      <c r="A14" s="4" t="s">
        <v>212</v>
      </c>
      <c r="B14" t="s">
        <v>245</v>
      </c>
      <c r="C14" t="s">
        <v>322</v>
      </c>
      <c r="D14" s="4" t="s">
        <v>22</v>
      </c>
      <c r="E14" s="5" t="str">
        <f>IFERROR(VLOOKUP(D14, Categories!A:B, 2, FALSE), "")</f>
        <v>كراسي حلاقة وكوافير</v>
      </c>
      <c r="F14" s="9"/>
      <c r="G14" s="9"/>
      <c r="H14" s="11"/>
      <c r="I14" s="11"/>
      <c r="J14" s="11">
        <v>9</v>
      </c>
      <c r="K14">
        <v>7200</v>
      </c>
      <c r="L14" s="11" t="s">
        <v>5</v>
      </c>
      <c r="M14" s="15" t="s">
        <v>357</v>
      </c>
      <c r="N14" s="10"/>
      <c r="O14" s="10"/>
      <c r="P14" s="10"/>
      <c r="Q14" s="10"/>
      <c r="R14" s="9"/>
      <c r="S14" s="9"/>
      <c r="T14" s="9"/>
      <c r="U14" s="11"/>
      <c r="V14" s="10"/>
      <c r="W14" s="9"/>
      <c r="X14" s="9"/>
      <c r="Y14" s="10"/>
      <c r="Z14" s="11" t="s">
        <v>79</v>
      </c>
      <c r="AA14" s="7" t="s">
        <v>79</v>
      </c>
    </row>
    <row r="15" spans="1:27" ht="21.95" customHeight="1" x14ac:dyDescent="0.25">
      <c r="A15" s="8" t="s">
        <v>213</v>
      </c>
      <c r="B15" t="s">
        <v>246</v>
      </c>
      <c r="C15" t="s">
        <v>323</v>
      </c>
      <c r="D15" s="8" t="s">
        <v>22</v>
      </c>
      <c r="E15" s="5" t="str">
        <f>IFERROR(VLOOKUP(D15, Categories!A:B, 2, FALSE), "")</f>
        <v>كراسي حلاقة وكوافير</v>
      </c>
      <c r="F15" s="9"/>
      <c r="G15" s="9"/>
      <c r="H15" s="11"/>
      <c r="I15" s="11"/>
      <c r="J15" s="11">
        <v>10</v>
      </c>
      <c r="K15">
        <v>6900</v>
      </c>
      <c r="L15" s="11" t="s">
        <v>5</v>
      </c>
      <c r="M15" s="15" t="s">
        <v>358</v>
      </c>
      <c r="N15" s="10"/>
      <c r="O15" s="10"/>
      <c r="P15" s="10"/>
      <c r="Q15" s="10"/>
      <c r="R15" s="9"/>
      <c r="S15" s="9"/>
      <c r="T15" s="9"/>
      <c r="U15" s="11"/>
      <c r="V15" s="10"/>
      <c r="W15" s="9"/>
      <c r="X15" s="9"/>
      <c r="Y15" s="10"/>
      <c r="Z15" s="11" t="s">
        <v>79</v>
      </c>
      <c r="AA15" s="11" t="s">
        <v>79</v>
      </c>
    </row>
    <row r="16" spans="1:27" ht="21.95" customHeight="1" x14ac:dyDescent="0.25">
      <c r="A16" s="8" t="s">
        <v>214</v>
      </c>
      <c r="B16" t="s">
        <v>247</v>
      </c>
      <c r="C16" t="s">
        <v>280</v>
      </c>
      <c r="D16" s="8" t="s">
        <v>22</v>
      </c>
      <c r="E16" s="5" t="str">
        <f>IFERROR(VLOOKUP(D16, Categories!A:B, 2, FALSE), "")</f>
        <v>كراسي حلاقة وكوافير</v>
      </c>
      <c r="F16" s="9"/>
      <c r="G16" s="9"/>
      <c r="H16" s="11"/>
      <c r="I16" s="11"/>
      <c r="J16" s="11">
        <v>13</v>
      </c>
      <c r="K16">
        <v>6500</v>
      </c>
      <c r="L16" s="11" t="s">
        <v>5</v>
      </c>
      <c r="M16" s="15" t="s">
        <v>359</v>
      </c>
      <c r="N16" s="10"/>
      <c r="O16" s="10"/>
      <c r="P16" s="10"/>
      <c r="Q16" s="10"/>
      <c r="R16" s="9"/>
      <c r="S16" s="9"/>
      <c r="T16" s="9"/>
      <c r="U16" s="11"/>
      <c r="V16" s="10"/>
      <c r="W16" s="9"/>
      <c r="X16" s="9"/>
      <c r="Y16" s="10"/>
      <c r="Z16" s="11" t="s">
        <v>79</v>
      </c>
      <c r="AA16" s="7" t="s">
        <v>79</v>
      </c>
    </row>
    <row r="17" spans="1:27" ht="21.95" customHeight="1" x14ac:dyDescent="0.25">
      <c r="A17" s="4" t="s">
        <v>215</v>
      </c>
      <c r="B17" t="s">
        <v>248</v>
      </c>
      <c r="C17" t="s">
        <v>281</v>
      </c>
      <c r="D17" s="4" t="s">
        <v>22</v>
      </c>
      <c r="E17" s="5" t="str">
        <f>IFERROR(VLOOKUP(D17, Categories!A:B, 2, FALSE), "")</f>
        <v>كراسي حلاقة وكوافير</v>
      </c>
      <c r="F17" s="9"/>
      <c r="G17" s="9"/>
      <c r="H17" s="11" t="s">
        <v>12</v>
      </c>
      <c r="I17" s="11"/>
      <c r="J17" s="11"/>
      <c r="K17">
        <v>6000</v>
      </c>
      <c r="L17" s="11" t="s">
        <v>5</v>
      </c>
      <c r="M17" s="10"/>
      <c r="N17" s="10"/>
      <c r="O17" s="10"/>
      <c r="P17" s="10"/>
      <c r="Q17" s="10"/>
      <c r="R17" s="9"/>
      <c r="S17" s="9"/>
      <c r="T17" s="9"/>
      <c r="U17" s="11"/>
      <c r="V17" s="10"/>
      <c r="W17" s="9"/>
      <c r="X17" s="9"/>
      <c r="Y17" s="10"/>
      <c r="Z17" s="11" t="s">
        <v>79</v>
      </c>
      <c r="AA17" s="11" t="s">
        <v>79</v>
      </c>
    </row>
    <row r="18" spans="1:27" ht="21.95" customHeight="1" x14ac:dyDescent="0.25">
      <c r="A18" s="8" t="s">
        <v>216</v>
      </c>
      <c r="B18" t="s">
        <v>249</v>
      </c>
      <c r="C18" t="s">
        <v>282</v>
      </c>
      <c r="D18" s="8" t="s">
        <v>22</v>
      </c>
      <c r="E18" s="5" t="str">
        <f>IFERROR(VLOOKUP(D18, Categories!A:B, 2, FALSE), "")</f>
        <v>كراسي حلاقة وكوافير</v>
      </c>
      <c r="F18" s="9"/>
      <c r="G18" s="9"/>
      <c r="H18" s="11"/>
      <c r="I18" s="11" t="s">
        <v>5</v>
      </c>
      <c r="J18" s="11">
        <v>16</v>
      </c>
      <c r="K18">
        <v>5900</v>
      </c>
      <c r="L18" s="11" t="s">
        <v>5</v>
      </c>
      <c r="M18" s="15" t="s">
        <v>360</v>
      </c>
      <c r="N18" s="10"/>
      <c r="O18" s="10"/>
      <c r="P18" s="10"/>
      <c r="Q18" s="10"/>
      <c r="R18" s="9"/>
      <c r="S18" s="9"/>
      <c r="T18" s="9"/>
      <c r="U18" s="11"/>
      <c r="V18" s="10"/>
      <c r="W18" s="9"/>
      <c r="X18" s="9"/>
      <c r="Y18" s="10"/>
      <c r="Z18" s="11" t="s">
        <v>79</v>
      </c>
      <c r="AA18" s="7" t="s">
        <v>79</v>
      </c>
    </row>
    <row r="19" spans="1:27" ht="21.95" customHeight="1" x14ac:dyDescent="0.25">
      <c r="A19" s="4" t="s">
        <v>217</v>
      </c>
      <c r="B19" t="s">
        <v>250</v>
      </c>
      <c r="C19" t="s">
        <v>283</v>
      </c>
      <c r="D19" s="4" t="s">
        <v>22</v>
      </c>
      <c r="E19" s="5" t="str">
        <f>IFERROR(VLOOKUP(D19, Categories!A:B, 2, FALSE), "")</f>
        <v>كراسي حلاقة وكوافير</v>
      </c>
      <c r="F19" s="9"/>
      <c r="G19" s="9"/>
      <c r="H19" s="11"/>
      <c r="I19" s="11"/>
      <c r="J19" s="11">
        <v>14</v>
      </c>
      <c r="K19">
        <v>6000</v>
      </c>
      <c r="L19" s="11" t="s">
        <v>5</v>
      </c>
      <c r="M19" s="15" t="s">
        <v>362</v>
      </c>
      <c r="N19" s="10"/>
      <c r="O19" s="10"/>
      <c r="P19" s="10"/>
      <c r="Q19" s="10"/>
      <c r="R19" s="9"/>
      <c r="S19" s="9"/>
      <c r="T19" s="9"/>
      <c r="U19" s="11"/>
      <c r="V19" s="10"/>
      <c r="W19" s="9"/>
      <c r="X19" s="9"/>
      <c r="Y19" s="10"/>
      <c r="Z19" s="11" t="s">
        <v>79</v>
      </c>
      <c r="AA19" s="11" t="s">
        <v>79</v>
      </c>
    </row>
    <row r="20" spans="1:27" ht="21.95" customHeight="1" x14ac:dyDescent="0.25">
      <c r="A20" s="8" t="s">
        <v>218</v>
      </c>
      <c r="B20" t="s">
        <v>251</v>
      </c>
      <c r="C20" t="s">
        <v>284</v>
      </c>
      <c r="D20" s="8" t="s">
        <v>22</v>
      </c>
      <c r="E20" s="5" t="str">
        <f>IFERROR(VLOOKUP(D20, Categories!A:B, 2, FALSE), "")</f>
        <v>كراسي حلاقة وكوافير</v>
      </c>
      <c r="F20" s="9"/>
      <c r="G20" s="9"/>
      <c r="H20" s="11"/>
      <c r="I20" s="11"/>
      <c r="J20" s="11">
        <v>15</v>
      </c>
      <c r="K20">
        <v>5500</v>
      </c>
      <c r="L20" s="11" t="s">
        <v>5</v>
      </c>
      <c r="M20" s="15" t="s">
        <v>370</v>
      </c>
      <c r="N20" s="15" t="s">
        <v>361</v>
      </c>
      <c r="O20" s="10"/>
      <c r="P20" s="10"/>
      <c r="Q20" s="10"/>
      <c r="R20" s="9"/>
      <c r="S20" s="9"/>
      <c r="T20" s="9"/>
      <c r="U20" s="11"/>
      <c r="V20" s="10"/>
      <c r="W20" s="9"/>
      <c r="X20" s="9"/>
      <c r="Y20" s="10"/>
      <c r="Z20" s="11" t="s">
        <v>79</v>
      </c>
      <c r="AA20" s="7" t="s">
        <v>79</v>
      </c>
    </row>
    <row r="21" spans="1:27" ht="21.95" customHeight="1" x14ac:dyDescent="0.25">
      <c r="A21" s="4" t="s">
        <v>219</v>
      </c>
      <c r="B21" t="s">
        <v>252</v>
      </c>
      <c r="C21" t="s">
        <v>319</v>
      </c>
      <c r="D21" s="4" t="s">
        <v>22</v>
      </c>
      <c r="E21" s="5" t="str">
        <f>IFERROR(VLOOKUP(D21, Categories!A:B, 2, FALSE), "")</f>
        <v>كراسي حلاقة وكوافير</v>
      </c>
      <c r="F21" s="9"/>
      <c r="G21" s="9"/>
      <c r="H21" s="11"/>
      <c r="I21" s="11"/>
      <c r="J21" s="11">
        <v>17</v>
      </c>
      <c r="K21">
        <v>5500</v>
      </c>
      <c r="L21" s="11" t="s">
        <v>5</v>
      </c>
      <c r="M21" s="15" t="s">
        <v>363</v>
      </c>
      <c r="N21" s="10"/>
      <c r="O21" s="10"/>
      <c r="P21" s="10"/>
      <c r="Q21" s="10"/>
      <c r="R21" s="9"/>
      <c r="S21" s="9"/>
      <c r="T21" s="9"/>
      <c r="U21" s="11"/>
      <c r="V21" s="10"/>
      <c r="W21" s="9"/>
      <c r="X21" s="9"/>
      <c r="Y21" s="10"/>
      <c r="Z21" s="11" t="s">
        <v>79</v>
      </c>
      <c r="AA21" s="11" t="s">
        <v>79</v>
      </c>
    </row>
    <row r="22" spans="1:27" ht="21.95" customHeight="1" x14ac:dyDescent="0.25">
      <c r="A22" s="8" t="s">
        <v>220</v>
      </c>
      <c r="B22" t="s">
        <v>253</v>
      </c>
      <c r="C22" t="s">
        <v>318</v>
      </c>
      <c r="D22" s="8" t="s">
        <v>22</v>
      </c>
      <c r="E22" s="5" t="str">
        <f>IFERROR(VLOOKUP(D22, Categories!A:B, 2, FALSE), "")</f>
        <v>كراسي حلاقة وكوافير</v>
      </c>
      <c r="F22" s="9"/>
      <c r="G22" s="9"/>
      <c r="H22" s="11"/>
      <c r="I22" s="11"/>
      <c r="J22" s="11">
        <v>18</v>
      </c>
      <c r="K22">
        <v>6000</v>
      </c>
      <c r="L22" s="11" t="s">
        <v>5</v>
      </c>
      <c r="M22" s="15" t="s">
        <v>364</v>
      </c>
      <c r="N22" s="10"/>
      <c r="O22" s="10"/>
      <c r="P22" s="10"/>
      <c r="Q22" s="10"/>
      <c r="R22" s="9"/>
      <c r="S22" s="9"/>
      <c r="T22" s="9"/>
      <c r="U22" s="11"/>
      <c r="V22" s="10"/>
      <c r="W22" s="9"/>
      <c r="X22" s="9"/>
      <c r="Y22" s="10"/>
      <c r="Z22" s="11" t="s">
        <v>79</v>
      </c>
      <c r="AA22" s="7" t="s">
        <v>79</v>
      </c>
    </row>
    <row r="23" spans="1:27" ht="21.95" customHeight="1" x14ac:dyDescent="0.25">
      <c r="A23" s="4" t="s">
        <v>221</v>
      </c>
      <c r="B23" t="s">
        <v>254</v>
      </c>
      <c r="C23" t="s">
        <v>320</v>
      </c>
      <c r="D23" s="4" t="s">
        <v>22</v>
      </c>
      <c r="E23" s="5" t="str">
        <f>IFERROR(VLOOKUP(D23, Categories!A:B, 2, FALSE), "")</f>
        <v>كراسي حلاقة وكوافير</v>
      </c>
      <c r="F23" s="9"/>
      <c r="G23" s="9"/>
      <c r="H23" s="11"/>
      <c r="I23" s="11"/>
      <c r="J23" s="11">
        <v>21</v>
      </c>
      <c r="K23">
        <v>5900</v>
      </c>
      <c r="L23" s="11" t="s">
        <v>5</v>
      </c>
      <c r="M23" s="15" t="s">
        <v>365</v>
      </c>
      <c r="N23" s="15" t="s">
        <v>371</v>
      </c>
      <c r="O23" s="15" t="s">
        <v>372</v>
      </c>
      <c r="P23" s="10"/>
      <c r="Q23" s="10"/>
      <c r="R23" s="9"/>
      <c r="S23" s="9"/>
      <c r="T23" s="9"/>
      <c r="U23" s="11"/>
      <c r="V23" s="10"/>
      <c r="W23" s="9"/>
      <c r="X23" s="9"/>
      <c r="Y23" s="10"/>
      <c r="Z23" s="11" t="s">
        <v>79</v>
      </c>
      <c r="AA23" s="11" t="s">
        <v>79</v>
      </c>
    </row>
    <row r="24" spans="1:27" ht="21.95" customHeight="1" x14ac:dyDescent="0.25">
      <c r="A24" s="8" t="s">
        <v>222</v>
      </c>
      <c r="B24" t="s">
        <v>255</v>
      </c>
      <c r="C24" t="s">
        <v>321</v>
      </c>
      <c r="D24" s="8" t="s">
        <v>22</v>
      </c>
      <c r="E24" s="5" t="str">
        <f>IFERROR(VLOOKUP(D24, Categories!A:B, 2, FALSE), "")</f>
        <v>كراسي حلاقة وكوافير</v>
      </c>
      <c r="F24" s="9"/>
      <c r="G24" s="9"/>
      <c r="H24" s="11"/>
      <c r="I24" s="11"/>
      <c r="J24" s="11">
        <v>22</v>
      </c>
      <c r="K24">
        <v>6400</v>
      </c>
      <c r="L24" s="11" t="s">
        <v>5</v>
      </c>
      <c r="M24" s="15" t="s">
        <v>366</v>
      </c>
      <c r="N24" s="15" t="s">
        <v>373</v>
      </c>
      <c r="O24" s="15"/>
      <c r="P24" s="10"/>
      <c r="Q24" s="10"/>
      <c r="R24" s="9"/>
      <c r="S24" s="9"/>
      <c r="T24" s="9"/>
      <c r="U24" s="11"/>
      <c r="V24" s="10"/>
      <c r="W24" s="9"/>
      <c r="X24" s="9"/>
      <c r="Y24" s="10"/>
      <c r="Z24" s="11" t="s">
        <v>79</v>
      </c>
      <c r="AA24" s="7" t="s">
        <v>79</v>
      </c>
    </row>
    <row r="25" spans="1:27" ht="21.95" customHeight="1" x14ac:dyDescent="0.25">
      <c r="A25" s="4" t="s">
        <v>223</v>
      </c>
      <c r="B25" t="s">
        <v>256</v>
      </c>
      <c r="C25" t="s">
        <v>285</v>
      </c>
      <c r="D25" s="4" t="s">
        <v>22</v>
      </c>
      <c r="E25" s="5" t="str">
        <f>IFERROR(VLOOKUP(D25, Categories!A:B, 2, FALSE), "")</f>
        <v>كراسي حلاقة وكوافير</v>
      </c>
      <c r="F25" s="9"/>
      <c r="G25" s="9"/>
      <c r="H25" s="11"/>
      <c r="I25" s="11"/>
      <c r="J25" s="11">
        <v>19</v>
      </c>
      <c r="K25">
        <v>3900</v>
      </c>
      <c r="L25" s="11" t="s">
        <v>5</v>
      </c>
      <c r="M25" s="15" t="s">
        <v>367</v>
      </c>
      <c r="N25" s="15" t="s">
        <v>374</v>
      </c>
      <c r="O25" s="10"/>
      <c r="P25" s="10"/>
      <c r="Q25" s="10"/>
      <c r="R25" s="9"/>
      <c r="S25" s="9"/>
      <c r="T25" s="9"/>
      <c r="U25" s="11"/>
      <c r="V25" s="10"/>
      <c r="W25" s="9"/>
      <c r="X25" s="9"/>
      <c r="Y25" s="10"/>
      <c r="Z25" s="11" t="s">
        <v>79</v>
      </c>
      <c r="AA25" s="11" t="s">
        <v>79</v>
      </c>
    </row>
    <row r="26" spans="1:27" ht="21.95" customHeight="1" x14ac:dyDescent="0.25">
      <c r="A26" s="8" t="s">
        <v>224</v>
      </c>
      <c r="B26" t="s">
        <v>257</v>
      </c>
      <c r="C26" t="s">
        <v>286</v>
      </c>
      <c r="D26" s="8" t="s">
        <v>22</v>
      </c>
      <c r="E26" s="5" t="str">
        <f>IFERROR(VLOOKUP(D26, Categories!A:B, 2, FALSE), "")</f>
        <v>كراسي حلاقة وكوافير</v>
      </c>
      <c r="F26" s="9"/>
      <c r="G26" s="9"/>
      <c r="H26" s="11"/>
      <c r="I26" s="11" t="s">
        <v>5</v>
      </c>
      <c r="J26" s="11">
        <v>20</v>
      </c>
      <c r="K26">
        <v>4000</v>
      </c>
      <c r="L26" s="11" t="s">
        <v>5</v>
      </c>
      <c r="M26" s="15" t="s">
        <v>368</v>
      </c>
      <c r="N26" s="10"/>
      <c r="O26" s="10"/>
      <c r="P26" s="10"/>
      <c r="Q26" s="10"/>
      <c r="R26" s="9"/>
      <c r="S26" s="9"/>
      <c r="T26" s="9"/>
      <c r="U26" s="11"/>
      <c r="V26" s="10"/>
      <c r="W26" s="9"/>
      <c r="X26" s="9"/>
      <c r="Y26" s="10"/>
      <c r="Z26" s="11" t="s">
        <v>79</v>
      </c>
      <c r="AA26" s="7" t="s">
        <v>79</v>
      </c>
    </row>
    <row r="27" spans="1:27" ht="21.95" customHeight="1" x14ac:dyDescent="0.25">
      <c r="A27" s="8" t="s">
        <v>225</v>
      </c>
      <c r="B27" t="s">
        <v>258</v>
      </c>
      <c r="C27" t="s">
        <v>287</v>
      </c>
      <c r="D27" s="8" t="s">
        <v>22</v>
      </c>
      <c r="E27" s="5" t="str">
        <f>IFERROR(VLOOKUP(D27, Categories!A:B, 2, FALSE), "")</f>
        <v>كراسي حلاقة وكوافير</v>
      </c>
      <c r="F27" s="9"/>
      <c r="G27" s="9"/>
      <c r="H27" s="11"/>
      <c r="I27" s="11" t="s">
        <v>5</v>
      </c>
      <c r="J27" s="11">
        <v>23</v>
      </c>
      <c r="K27">
        <v>4100</v>
      </c>
      <c r="L27" s="11" t="s">
        <v>5</v>
      </c>
      <c r="M27" s="15" t="s">
        <v>369</v>
      </c>
      <c r="N27" s="10"/>
      <c r="O27" s="10"/>
      <c r="P27" s="10"/>
      <c r="Q27" s="10"/>
      <c r="R27" s="9"/>
      <c r="S27" s="9"/>
      <c r="T27" s="9"/>
      <c r="U27" s="11"/>
      <c r="V27" s="10"/>
      <c r="W27" s="9"/>
      <c r="X27" s="9"/>
      <c r="Y27" s="10"/>
      <c r="Z27" s="11" t="s">
        <v>79</v>
      </c>
      <c r="AA27" s="11" t="s">
        <v>79</v>
      </c>
    </row>
    <row r="28" spans="1:27" ht="21.95" customHeight="1" x14ac:dyDescent="0.25">
      <c r="A28" s="4" t="s">
        <v>226</v>
      </c>
      <c r="B28" t="s">
        <v>259</v>
      </c>
      <c r="C28" t="s">
        <v>324</v>
      </c>
      <c r="D28" s="4" t="s">
        <v>22</v>
      </c>
      <c r="E28" s="5" t="str">
        <f>IFERROR(VLOOKUP(D28, Categories!A:B, 2, FALSE), "")</f>
        <v>كراسي حلاقة وكوافير</v>
      </c>
      <c r="F28" s="9"/>
      <c r="G28" s="9"/>
      <c r="H28" s="11"/>
      <c r="I28" s="11" t="s">
        <v>5</v>
      </c>
      <c r="J28" s="11">
        <v>4</v>
      </c>
      <c r="K28">
        <v>11000</v>
      </c>
      <c r="L28" s="11" t="s">
        <v>5</v>
      </c>
      <c r="M28" s="15" t="s">
        <v>375</v>
      </c>
      <c r="N28" s="10"/>
      <c r="O28" s="10"/>
      <c r="P28" s="10"/>
      <c r="Q28" s="10"/>
      <c r="R28" s="9"/>
      <c r="S28" s="9"/>
      <c r="T28" s="9"/>
      <c r="U28" s="11"/>
      <c r="V28" s="10"/>
      <c r="W28" s="9"/>
      <c r="X28" s="9"/>
      <c r="Y28" s="10"/>
      <c r="Z28" s="11" t="s">
        <v>79</v>
      </c>
      <c r="AA28" s="7" t="s">
        <v>79</v>
      </c>
    </row>
    <row r="29" spans="1:27" ht="21.95" customHeight="1" x14ac:dyDescent="0.25">
      <c r="A29" s="4" t="s">
        <v>227</v>
      </c>
      <c r="B29" t="s">
        <v>260</v>
      </c>
      <c r="C29" t="s">
        <v>325</v>
      </c>
      <c r="D29" s="8" t="s">
        <v>22</v>
      </c>
      <c r="E29" s="5" t="str">
        <f>IFERROR(VLOOKUP(D29, Categories!A:B, 2, FALSE), "")</f>
        <v>كراسي حلاقة وكوافير</v>
      </c>
      <c r="F29" s="9"/>
      <c r="G29" s="9"/>
      <c r="H29" s="11"/>
      <c r="I29" s="11"/>
      <c r="J29" s="11">
        <v>2</v>
      </c>
      <c r="K29">
        <v>12000</v>
      </c>
      <c r="L29" s="11" t="s">
        <v>5</v>
      </c>
      <c r="M29" s="15" t="s">
        <v>376</v>
      </c>
      <c r="N29" s="10"/>
      <c r="O29" s="10"/>
      <c r="P29" s="10"/>
      <c r="Q29" s="10"/>
      <c r="R29" s="9"/>
      <c r="S29" s="9"/>
      <c r="T29" s="9"/>
      <c r="U29" s="11"/>
      <c r="V29" s="10"/>
      <c r="W29" s="9"/>
      <c r="X29" s="9"/>
      <c r="Y29" s="10"/>
      <c r="Z29" s="11" t="s">
        <v>79</v>
      </c>
      <c r="AA29" s="11" t="s">
        <v>79</v>
      </c>
    </row>
    <row r="30" spans="1:27" ht="21.95" customHeight="1" x14ac:dyDescent="0.25">
      <c r="A30" s="8" t="s">
        <v>228</v>
      </c>
      <c r="B30" t="s">
        <v>261</v>
      </c>
      <c r="C30" t="s">
        <v>288</v>
      </c>
      <c r="D30" s="4" t="s">
        <v>22</v>
      </c>
      <c r="E30" s="5" t="str">
        <f>IFERROR(VLOOKUP(D30, Categories!A:B, 2, FALSE), "")</f>
        <v>كراسي حلاقة وكوافير</v>
      </c>
      <c r="F30" s="9"/>
      <c r="G30" s="9"/>
      <c r="H30" s="11" t="s">
        <v>4</v>
      </c>
      <c r="I30" s="11" t="s">
        <v>5</v>
      </c>
      <c r="J30" s="11">
        <v>1</v>
      </c>
      <c r="K30">
        <v>9000</v>
      </c>
      <c r="L30" s="11" t="s">
        <v>5</v>
      </c>
      <c r="M30" s="15" t="s">
        <v>377</v>
      </c>
      <c r="N30" s="15" t="s">
        <v>383</v>
      </c>
      <c r="O30" s="15" t="s">
        <v>384</v>
      </c>
      <c r="P30" s="10"/>
      <c r="Q30" s="10"/>
      <c r="R30" s="9" t="s">
        <v>342</v>
      </c>
      <c r="S30" s="9" t="s">
        <v>343</v>
      </c>
      <c r="T30" s="9"/>
      <c r="U30" s="11"/>
      <c r="V30" s="15" t="s">
        <v>344</v>
      </c>
      <c r="W30" s="9" t="s">
        <v>345</v>
      </c>
      <c r="X30" s="16" t="s">
        <v>346</v>
      </c>
      <c r="Y30" s="15" t="s">
        <v>347</v>
      </c>
      <c r="Z30" s="11" t="s">
        <v>79</v>
      </c>
      <c r="AA30" s="7" t="s">
        <v>79</v>
      </c>
    </row>
    <row r="31" spans="1:27" ht="21.95" customHeight="1" x14ac:dyDescent="0.25">
      <c r="A31" s="4" t="s">
        <v>229</v>
      </c>
      <c r="B31" t="s">
        <v>262</v>
      </c>
      <c r="C31" t="s">
        <v>289</v>
      </c>
      <c r="D31" s="8" t="s">
        <v>22</v>
      </c>
      <c r="E31" s="5" t="str">
        <f>IFERROR(VLOOKUP(D31, Categories!A:B, 2, FALSE), "")</f>
        <v>كراسي حلاقة وكوافير</v>
      </c>
      <c r="F31" s="9"/>
      <c r="G31" s="9"/>
      <c r="H31" s="11"/>
      <c r="I31" s="11" t="s">
        <v>5</v>
      </c>
      <c r="J31" s="11">
        <v>3</v>
      </c>
      <c r="K31">
        <v>1000</v>
      </c>
      <c r="L31" s="11" t="s">
        <v>5</v>
      </c>
      <c r="M31" s="15" t="s">
        <v>378</v>
      </c>
      <c r="N31" s="15" t="s">
        <v>385</v>
      </c>
      <c r="O31" s="15" t="s">
        <v>386</v>
      </c>
      <c r="P31" s="10"/>
      <c r="Q31" s="10"/>
      <c r="R31" s="9"/>
      <c r="S31" s="9"/>
      <c r="T31" s="9"/>
      <c r="U31" s="11"/>
      <c r="V31" s="10"/>
      <c r="W31" s="9"/>
      <c r="X31" s="9"/>
      <c r="Y31" s="10"/>
      <c r="Z31" s="11" t="s">
        <v>79</v>
      </c>
      <c r="AA31" s="11" t="s">
        <v>79</v>
      </c>
    </row>
    <row r="32" spans="1:27" ht="21.95" customHeight="1" x14ac:dyDescent="0.25">
      <c r="A32" s="4" t="s">
        <v>230</v>
      </c>
      <c r="B32" t="s">
        <v>263</v>
      </c>
      <c r="C32" t="s">
        <v>295</v>
      </c>
      <c r="D32" s="4" t="s">
        <v>22</v>
      </c>
      <c r="E32" s="5" t="str">
        <f>IFERROR(VLOOKUP(D32, Categories!A:B, 2, FALSE), "")</f>
        <v>كراسي حلاقة وكوافير</v>
      </c>
      <c r="F32" s="9"/>
      <c r="G32" s="9"/>
      <c r="H32" s="11"/>
      <c r="I32" s="11" t="s">
        <v>5</v>
      </c>
      <c r="J32" s="11">
        <v>24</v>
      </c>
      <c r="K32">
        <v>4400</v>
      </c>
      <c r="L32" s="11" t="s">
        <v>5</v>
      </c>
      <c r="M32" s="15" t="s">
        <v>379</v>
      </c>
      <c r="N32" s="10"/>
      <c r="O32" s="10"/>
      <c r="P32" s="10"/>
      <c r="Q32" s="10"/>
      <c r="R32" s="9"/>
      <c r="S32" s="9"/>
      <c r="T32" s="9"/>
      <c r="U32" s="11"/>
      <c r="V32" s="10"/>
      <c r="W32" s="9"/>
      <c r="X32" s="9"/>
      <c r="Y32" s="10"/>
      <c r="Z32" s="11" t="s">
        <v>79</v>
      </c>
      <c r="AA32" s="7" t="s">
        <v>79</v>
      </c>
    </row>
    <row r="33" spans="1:27" ht="21.95" customHeight="1" x14ac:dyDescent="0.25">
      <c r="A33" s="8" t="s">
        <v>231</v>
      </c>
      <c r="B33" t="s">
        <v>264</v>
      </c>
      <c r="C33" t="s">
        <v>290</v>
      </c>
      <c r="D33" s="8" t="s">
        <v>22</v>
      </c>
      <c r="E33" s="5" t="str">
        <f>IFERROR(VLOOKUP(D33, Categories!A:B, 2, FALSE), "")</f>
        <v>كراسي حلاقة وكوافير</v>
      </c>
      <c r="F33" s="9"/>
      <c r="G33" s="9"/>
      <c r="H33" s="11"/>
      <c r="I33" s="11" t="s">
        <v>5</v>
      </c>
      <c r="J33" s="11">
        <v>25</v>
      </c>
      <c r="K33">
        <v>4500</v>
      </c>
      <c r="L33" s="11" t="s">
        <v>5</v>
      </c>
      <c r="M33" s="15" t="s">
        <v>380</v>
      </c>
      <c r="N33" s="15" t="s">
        <v>387</v>
      </c>
      <c r="O33" s="10"/>
      <c r="P33" s="10"/>
      <c r="Q33" s="10"/>
      <c r="R33" s="9"/>
      <c r="S33" s="9"/>
      <c r="T33" s="9"/>
      <c r="U33" s="11"/>
      <c r="V33" s="10"/>
      <c r="W33" s="9"/>
      <c r="X33" s="9"/>
      <c r="Y33" s="10"/>
      <c r="Z33" s="11" t="s">
        <v>79</v>
      </c>
      <c r="AA33" s="11" t="s">
        <v>79</v>
      </c>
    </row>
    <row r="34" spans="1:27" ht="21.95" customHeight="1" x14ac:dyDescent="0.25">
      <c r="A34" s="4" t="s">
        <v>296</v>
      </c>
      <c r="B34" t="s">
        <v>265</v>
      </c>
      <c r="C34" t="s">
        <v>291</v>
      </c>
      <c r="D34" s="4" t="s">
        <v>37</v>
      </c>
      <c r="E34" s="5" t="str">
        <f>IFERROR(VLOOKUP(D34, Categories!A:B, 2, FALSE), "")</f>
        <v>شيزلونجات</v>
      </c>
      <c r="F34" s="9"/>
      <c r="G34" s="9"/>
      <c r="H34" s="11"/>
      <c r="I34" s="11"/>
      <c r="J34" s="11">
        <v>26</v>
      </c>
      <c r="K34">
        <v>3300</v>
      </c>
      <c r="L34" s="11" t="s">
        <v>5</v>
      </c>
      <c r="M34" s="15" t="s">
        <v>381</v>
      </c>
      <c r="N34" s="10"/>
      <c r="O34" s="10"/>
      <c r="P34" s="10"/>
      <c r="Q34" s="10"/>
      <c r="R34" s="9"/>
      <c r="S34" s="9"/>
      <c r="T34" s="9"/>
      <c r="U34" s="11"/>
      <c r="V34" s="10"/>
      <c r="W34" s="9"/>
      <c r="X34" s="9"/>
      <c r="Y34" s="10"/>
      <c r="Z34" s="11" t="s">
        <v>79</v>
      </c>
      <c r="AA34" s="7" t="s">
        <v>79</v>
      </c>
    </row>
    <row r="35" spans="1:27" ht="21.95" customHeight="1" x14ac:dyDescent="0.25">
      <c r="A35" s="4" t="s">
        <v>297</v>
      </c>
      <c r="B35" t="s">
        <v>266</v>
      </c>
      <c r="C35" t="s">
        <v>292</v>
      </c>
      <c r="D35" s="8" t="s">
        <v>37</v>
      </c>
      <c r="E35" s="5" t="str">
        <f>IFERROR(VLOOKUP(D35, Categories!A:B, 2, FALSE), "")</f>
        <v>شيزلونجات</v>
      </c>
      <c r="F35" s="9"/>
      <c r="G35" s="9"/>
      <c r="H35" s="11"/>
      <c r="I35" s="11"/>
      <c r="J35" s="11">
        <v>27</v>
      </c>
      <c r="K35">
        <v>1500</v>
      </c>
      <c r="L35" s="11" t="s">
        <v>5</v>
      </c>
      <c r="M35" s="15" t="s">
        <v>382</v>
      </c>
      <c r="N35" s="15" t="s">
        <v>392</v>
      </c>
      <c r="O35" s="10"/>
      <c r="P35" s="10"/>
      <c r="Q35" s="10"/>
      <c r="R35" s="9"/>
      <c r="S35" s="9"/>
      <c r="T35" s="9"/>
      <c r="U35" s="11"/>
      <c r="V35" s="10"/>
      <c r="W35" s="9"/>
      <c r="X35" s="9"/>
      <c r="Y35" s="10"/>
      <c r="Z35" s="11" t="s">
        <v>79</v>
      </c>
      <c r="AA35" s="11" t="s">
        <v>79</v>
      </c>
    </row>
    <row r="36" spans="1:27" ht="21.95" customHeight="1" x14ac:dyDescent="0.25">
      <c r="A36" s="8" t="s">
        <v>232</v>
      </c>
      <c r="B36" t="s">
        <v>267</v>
      </c>
      <c r="C36" t="s">
        <v>293</v>
      </c>
      <c r="D36" s="4" t="s">
        <v>22</v>
      </c>
      <c r="E36" s="5" t="str">
        <f>IFERROR(VLOOKUP(D36, Categories!A:B, 2, FALSE), "")</f>
        <v>كراسي حلاقة وكوافير</v>
      </c>
      <c r="F36" s="17" t="s">
        <v>348</v>
      </c>
      <c r="G36" s="17" t="s">
        <v>349</v>
      </c>
      <c r="H36" s="11" t="s">
        <v>4</v>
      </c>
      <c r="I36" s="11"/>
      <c r="J36" s="11"/>
      <c r="K36">
        <v>8700</v>
      </c>
      <c r="L36" s="11" t="s">
        <v>5</v>
      </c>
      <c r="M36" s="10"/>
      <c r="N36" s="10"/>
      <c r="O36" s="10"/>
      <c r="P36" s="10"/>
      <c r="Q36" s="10"/>
      <c r="R36" s="9"/>
      <c r="S36" s="9"/>
      <c r="T36" s="9"/>
      <c r="U36" s="11"/>
      <c r="V36" s="10"/>
      <c r="W36" s="9"/>
      <c r="X36" s="9"/>
      <c r="Y36" s="10"/>
      <c r="Z36" s="11" t="s">
        <v>79</v>
      </c>
      <c r="AA36" s="7" t="s">
        <v>79</v>
      </c>
    </row>
    <row r="37" spans="1:27" ht="21.95" customHeight="1" x14ac:dyDescent="0.25">
      <c r="A37" s="4" t="s">
        <v>233</v>
      </c>
      <c r="B37" t="s">
        <v>268</v>
      </c>
      <c r="C37" t="s">
        <v>294</v>
      </c>
      <c r="D37" s="8" t="s">
        <v>22</v>
      </c>
      <c r="E37" s="5" t="str">
        <f>IFERROR(VLOOKUP(D37, Categories!A:B, 2, FALSE), "")</f>
        <v>كراسي حلاقة وكوافير</v>
      </c>
      <c r="F37" s="9"/>
      <c r="G37" s="9"/>
      <c r="H37" s="11"/>
      <c r="I37" s="11"/>
      <c r="J37" s="11">
        <v>28</v>
      </c>
      <c r="K37">
        <v>11000</v>
      </c>
      <c r="L37" s="11" t="s">
        <v>5</v>
      </c>
      <c r="M37" s="15" t="s">
        <v>388</v>
      </c>
      <c r="N37" s="10"/>
      <c r="O37" s="10"/>
      <c r="P37" s="10"/>
      <c r="Q37" s="10"/>
      <c r="R37" s="9"/>
      <c r="S37" s="9"/>
      <c r="T37" s="9"/>
      <c r="U37" s="11"/>
      <c r="V37" s="10"/>
      <c r="W37" s="9"/>
      <c r="X37" s="9"/>
      <c r="Y37" s="10"/>
      <c r="Z37" s="11" t="s">
        <v>79</v>
      </c>
      <c r="AA37" s="11" t="s">
        <v>79</v>
      </c>
    </row>
    <row r="38" spans="1:27" ht="21.95" customHeight="1" x14ac:dyDescent="0.25">
      <c r="A38" s="4" t="s">
        <v>308</v>
      </c>
      <c r="B38" t="s">
        <v>303</v>
      </c>
      <c r="C38" t="s">
        <v>298</v>
      </c>
      <c r="D38" s="8" t="s">
        <v>37</v>
      </c>
      <c r="E38" s="5" t="str">
        <f>IFERROR(VLOOKUP(D38, Categories!A:B, 2, FALSE), "")</f>
        <v>شيزلونجات</v>
      </c>
      <c r="F38" s="9"/>
      <c r="G38" s="9"/>
      <c r="H38" s="11"/>
      <c r="I38" s="11"/>
      <c r="J38" s="11">
        <v>29</v>
      </c>
      <c r="K38">
        <v>5500</v>
      </c>
      <c r="L38" s="11" t="s">
        <v>5</v>
      </c>
      <c r="M38" s="15" t="s">
        <v>389</v>
      </c>
      <c r="N38" s="10"/>
      <c r="O38" s="10"/>
      <c r="P38" s="10"/>
      <c r="Q38" s="10"/>
      <c r="R38" s="9"/>
      <c r="S38" s="9"/>
      <c r="T38" s="9"/>
      <c r="U38" s="11"/>
      <c r="V38" s="10"/>
      <c r="W38" s="9"/>
      <c r="X38" s="9"/>
      <c r="Y38" s="10"/>
      <c r="Z38" s="11" t="s">
        <v>79</v>
      </c>
      <c r="AA38" s="7" t="s">
        <v>79</v>
      </c>
    </row>
    <row r="39" spans="1:27" ht="21.95" customHeight="1" x14ac:dyDescent="0.25">
      <c r="A39" s="8" t="s">
        <v>309</v>
      </c>
      <c r="B39" t="s">
        <v>304</v>
      </c>
      <c r="C39" t="s">
        <v>299</v>
      </c>
      <c r="D39" s="8" t="s">
        <v>32</v>
      </c>
      <c r="E39" s="5" t="str">
        <f>IFERROR(VLOOKUP(D39, Categories!A:B, 2, FALSE), "")</f>
        <v>أحواض غسيل الشعر</v>
      </c>
      <c r="F39" s="9"/>
      <c r="G39" s="9"/>
      <c r="H39" s="11"/>
      <c r="I39" s="11"/>
      <c r="J39" s="11">
        <v>33</v>
      </c>
      <c r="K39">
        <v>2300</v>
      </c>
      <c r="L39" s="11" t="s">
        <v>5</v>
      </c>
      <c r="M39" s="15" t="s">
        <v>390</v>
      </c>
      <c r="N39" s="10"/>
      <c r="O39" s="10"/>
      <c r="P39" s="10"/>
      <c r="Q39" s="10"/>
      <c r="R39" s="9"/>
      <c r="S39" s="9"/>
      <c r="T39" s="9"/>
      <c r="U39" s="11"/>
      <c r="V39" s="10"/>
      <c r="W39" s="9"/>
      <c r="X39" s="9"/>
      <c r="Y39" s="10"/>
      <c r="Z39" s="11" t="s">
        <v>79</v>
      </c>
      <c r="AA39" s="11" t="s">
        <v>79</v>
      </c>
    </row>
    <row r="40" spans="1:27" ht="21.95" customHeight="1" x14ac:dyDescent="0.25">
      <c r="A40" s="8" t="s">
        <v>310</v>
      </c>
      <c r="B40" t="s">
        <v>305</v>
      </c>
      <c r="C40" t="s">
        <v>300</v>
      </c>
      <c r="D40" s="8" t="s">
        <v>32</v>
      </c>
      <c r="E40" s="5" t="str">
        <f>IFERROR(VLOOKUP(D40, Categories!A:B, 2, FALSE), "")</f>
        <v>أحواض غسيل الشعر</v>
      </c>
      <c r="F40" s="9"/>
      <c r="G40" s="9"/>
      <c r="H40" s="11"/>
      <c r="I40" s="11"/>
      <c r="J40" s="11">
        <v>30</v>
      </c>
      <c r="K40">
        <v>7000</v>
      </c>
      <c r="L40" s="11" t="s">
        <v>5</v>
      </c>
      <c r="M40" s="15" t="s">
        <v>391</v>
      </c>
      <c r="N40" s="10"/>
      <c r="O40" s="10"/>
      <c r="P40" s="10"/>
      <c r="Q40" s="10"/>
      <c r="R40" s="9"/>
      <c r="S40" s="9"/>
      <c r="T40" s="9"/>
      <c r="U40" s="11"/>
      <c r="V40" s="10"/>
      <c r="W40" s="9"/>
      <c r="X40" s="9"/>
      <c r="Y40" s="10"/>
      <c r="Z40" s="11" t="s">
        <v>79</v>
      </c>
      <c r="AA40" s="7" t="s">
        <v>79</v>
      </c>
    </row>
    <row r="41" spans="1:27" ht="21.95" customHeight="1" x14ac:dyDescent="0.25">
      <c r="A41" s="8" t="s">
        <v>311</v>
      </c>
      <c r="B41" t="s">
        <v>306</v>
      </c>
      <c r="C41" t="s">
        <v>301</v>
      </c>
      <c r="D41" s="8" t="s">
        <v>32</v>
      </c>
      <c r="E41" s="5" t="str">
        <f>IFERROR(VLOOKUP(D41, Categories!A:B, 2, FALSE), "")</f>
        <v>أحواض غسيل الشعر</v>
      </c>
      <c r="F41" s="9"/>
      <c r="G41" s="9"/>
      <c r="H41" s="11"/>
      <c r="I41" s="11"/>
      <c r="J41" s="11">
        <v>31</v>
      </c>
      <c r="K41">
        <v>6900</v>
      </c>
      <c r="L41" s="11" t="s">
        <v>5</v>
      </c>
      <c r="M41" s="15" t="s">
        <v>393</v>
      </c>
      <c r="N41" s="10"/>
      <c r="O41" s="10"/>
      <c r="P41" s="10"/>
      <c r="Q41" s="10"/>
      <c r="R41" s="9"/>
      <c r="S41" s="9"/>
      <c r="T41" s="9"/>
      <c r="U41" s="11"/>
      <c r="V41" s="10"/>
      <c r="W41" s="9"/>
      <c r="X41" s="9"/>
      <c r="Y41" s="10"/>
      <c r="Z41" s="11" t="s">
        <v>79</v>
      </c>
      <c r="AA41" s="11" t="s">
        <v>79</v>
      </c>
    </row>
    <row r="42" spans="1:27" ht="21.95" customHeight="1" x14ac:dyDescent="0.25">
      <c r="A42" s="8" t="s">
        <v>312</v>
      </c>
      <c r="B42" t="s">
        <v>307</v>
      </c>
      <c r="C42" t="s">
        <v>302</v>
      </c>
      <c r="D42" s="8" t="s">
        <v>32</v>
      </c>
      <c r="E42" s="5" t="str">
        <f>IFERROR(VLOOKUP(D42, Categories!A:B, 2, FALSE), "")</f>
        <v>أحواض غسيل الشعر</v>
      </c>
      <c r="F42" s="9"/>
      <c r="G42" s="9"/>
      <c r="H42" s="11"/>
      <c r="I42" s="11"/>
      <c r="J42" s="11">
        <v>32</v>
      </c>
      <c r="K42">
        <v>6600</v>
      </c>
      <c r="L42" s="11" t="s">
        <v>5</v>
      </c>
      <c r="M42" s="15" t="s">
        <v>394</v>
      </c>
      <c r="N42" s="10"/>
      <c r="O42" s="10"/>
      <c r="P42" s="10"/>
      <c r="Q42" s="10"/>
      <c r="R42" s="9"/>
      <c r="S42" s="9"/>
      <c r="T42" s="9"/>
      <c r="U42" s="11"/>
      <c r="V42" s="10"/>
      <c r="W42" s="9"/>
      <c r="X42" s="9"/>
      <c r="Y42" s="10"/>
      <c r="Z42" s="11" t="s">
        <v>79</v>
      </c>
      <c r="AA42" s="7" t="s">
        <v>79</v>
      </c>
    </row>
    <row r="43" spans="1:27" ht="21.95" customHeight="1" x14ac:dyDescent="0.25">
      <c r="A43" s="4" t="s">
        <v>88</v>
      </c>
      <c r="B43" t="s">
        <v>313</v>
      </c>
      <c r="C43" s="5" t="s">
        <v>314</v>
      </c>
      <c r="D43" s="4" t="s">
        <v>26</v>
      </c>
      <c r="E43" s="5" t="str">
        <f>IFERROR(VLOOKUP(D43, Categories!A:B, 2, FALSE), "")</f>
        <v>كراسي أطفال</v>
      </c>
      <c r="F43" s="5" t="s">
        <v>89</v>
      </c>
      <c r="G43" s="5" t="s">
        <v>90</v>
      </c>
      <c r="H43" s="7" t="s">
        <v>4</v>
      </c>
      <c r="I43" s="7" t="s">
        <v>5</v>
      </c>
      <c r="J43" s="7">
        <v>34</v>
      </c>
      <c r="K43" s="12">
        <v>6200</v>
      </c>
      <c r="L43" s="7" t="s">
        <v>5</v>
      </c>
      <c r="M43" s="19" t="s">
        <v>395</v>
      </c>
      <c r="N43" s="19" t="s">
        <v>396</v>
      </c>
      <c r="O43" s="19" t="s">
        <v>397</v>
      </c>
      <c r="P43" s="6"/>
      <c r="Q43" s="6"/>
      <c r="R43" s="5" t="s">
        <v>93</v>
      </c>
      <c r="S43" s="5" t="s">
        <v>94</v>
      </c>
      <c r="T43" s="5" t="s">
        <v>95</v>
      </c>
      <c r="U43" s="7" t="s">
        <v>8</v>
      </c>
      <c r="V43" s="6" t="str">
        <f>"مرحبًا، أود الاستفسار عن كود المنتج: " &amp; B43 &amp; " (" &amp; C43 &amp; ") المعروض على موقعكم."</f>
        <v>مرحبًا، أود الاستفسار عن كود المنتج: AY-K01 (كرسي حلاقة أطفال شكل سيارة ) المعروض على موقعكم.</v>
      </c>
      <c r="W43" s="5" t="s">
        <v>96</v>
      </c>
      <c r="X43" s="5" t="s">
        <v>97</v>
      </c>
      <c r="Y43" s="6" t="s">
        <v>98</v>
      </c>
      <c r="Z43" s="7" t="s">
        <v>79</v>
      </c>
      <c r="AA43" s="7" t="s">
        <v>79</v>
      </c>
    </row>
  </sheetData>
  <autoFilter ref="A1:AA43" xr:uid="{00000000-0009-0000-0000-000002000000}"/>
  <phoneticPr fontId="5" type="noConversion"/>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xr:uid="{00000000-0002-0000-0200-000002000000}">
          <x14:formula1>
            <xm:f>_Lookups!$B$2:$B$3</xm:f>
          </x14:formula1>
          <xm:sqref>G27:G539 F2:G139 I2:I539 U2:U539 L2:L539</xm:sqref>
        </x14:dataValidation>
        <x14:dataValidation type="list" allowBlank="1" xr:uid="{00000000-0002-0000-0200-000000000000}">
          <x14:formula1>
            <xm:f>Categories!$A$2:$A$20</xm:f>
          </x14:formula1>
          <xm:sqref>D2:D539</xm:sqref>
        </x14:dataValidation>
        <x14:dataValidation type="list" allowBlank="1" xr:uid="{00000000-0002-0000-0200-000001000000}">
          <x14:formula1>
            <xm:f>_Lookups!$A$2:$A$5</xm:f>
          </x14:formula1>
          <xm:sqref>H2:H539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workbookViewId="0">
      <pane ySplit="1" topLeftCell="A2" activePane="bottomLeft" state="frozen"/>
      <selection pane="bottomLeft"/>
    </sheetView>
  </sheetViews>
  <sheetFormatPr defaultRowHeight="15" x14ac:dyDescent="0.25"/>
  <cols>
    <col min="1" max="1" width="14" customWidth="1"/>
    <col min="2" max="2" width="25" customWidth="1"/>
    <col min="3" max="3" width="35" customWidth="1"/>
    <col min="4" max="4" width="14" customWidth="1"/>
  </cols>
  <sheetData>
    <row r="1" spans="1:4" ht="27.95" customHeight="1" x14ac:dyDescent="0.25">
      <c r="A1" s="3" t="s">
        <v>48</v>
      </c>
      <c r="B1" s="3" t="s">
        <v>99</v>
      </c>
      <c r="C1" s="3" t="s">
        <v>100</v>
      </c>
      <c r="D1" s="3" t="s">
        <v>18</v>
      </c>
    </row>
    <row r="2" spans="1:4" ht="21.95" customHeight="1" x14ac:dyDescent="0.25">
      <c r="A2" s="4" t="s">
        <v>69</v>
      </c>
      <c r="B2" s="5" t="s">
        <v>101</v>
      </c>
      <c r="C2" s="5" t="s">
        <v>102</v>
      </c>
      <c r="D2" s="7">
        <v>1</v>
      </c>
    </row>
    <row r="3" spans="1:4" ht="21.95" customHeight="1" x14ac:dyDescent="0.25">
      <c r="A3" s="8" t="s">
        <v>69</v>
      </c>
      <c r="B3" s="9" t="s">
        <v>103</v>
      </c>
      <c r="C3" s="9" t="s">
        <v>104</v>
      </c>
      <c r="D3" s="11">
        <v>2</v>
      </c>
    </row>
    <row r="4" spans="1:4" ht="21.95" customHeight="1" x14ac:dyDescent="0.25">
      <c r="A4" s="4" t="s">
        <v>69</v>
      </c>
      <c r="B4" s="5" t="s">
        <v>105</v>
      </c>
      <c r="C4" s="5" t="s">
        <v>106</v>
      </c>
      <c r="D4" s="7">
        <v>3</v>
      </c>
    </row>
    <row r="5" spans="1:4" ht="21.95" customHeight="1" x14ac:dyDescent="0.25">
      <c r="A5" s="8" t="s">
        <v>69</v>
      </c>
      <c r="B5" s="9" t="s">
        <v>107</v>
      </c>
      <c r="C5" s="9" t="s">
        <v>108</v>
      </c>
      <c r="D5" s="11">
        <v>4</v>
      </c>
    </row>
    <row r="6" spans="1:4" ht="21.95" customHeight="1" x14ac:dyDescent="0.25">
      <c r="A6" s="4" t="s">
        <v>69</v>
      </c>
      <c r="B6" s="5" t="s">
        <v>109</v>
      </c>
      <c r="C6" s="5" t="s">
        <v>110</v>
      </c>
      <c r="D6" s="7">
        <v>5</v>
      </c>
    </row>
    <row r="7" spans="1:4" ht="21.95" customHeight="1" x14ac:dyDescent="0.25">
      <c r="A7" s="8" t="s">
        <v>69</v>
      </c>
      <c r="B7" s="9" t="s">
        <v>111</v>
      </c>
      <c r="C7" s="9" t="s">
        <v>112</v>
      </c>
      <c r="D7" s="11">
        <v>6</v>
      </c>
    </row>
    <row r="8" spans="1:4" ht="21.95" customHeight="1" x14ac:dyDescent="0.25">
      <c r="A8" s="4" t="s">
        <v>80</v>
      </c>
      <c r="B8" s="5" t="s">
        <v>101</v>
      </c>
      <c r="C8" s="5" t="s">
        <v>113</v>
      </c>
      <c r="D8" s="7">
        <v>1</v>
      </c>
    </row>
    <row r="9" spans="1:4" ht="21.95" customHeight="1" x14ac:dyDescent="0.25">
      <c r="A9" s="8" t="s">
        <v>80</v>
      </c>
      <c r="B9" s="9" t="s">
        <v>114</v>
      </c>
      <c r="C9" s="9" t="s">
        <v>115</v>
      </c>
      <c r="D9" s="11">
        <v>2</v>
      </c>
    </row>
    <row r="10" spans="1:4" ht="21.95" customHeight="1" x14ac:dyDescent="0.25">
      <c r="A10" s="4" t="s">
        <v>88</v>
      </c>
      <c r="B10" s="5" t="s">
        <v>116</v>
      </c>
      <c r="C10" s="5" t="s">
        <v>117</v>
      </c>
      <c r="D10" s="7">
        <v>1</v>
      </c>
    </row>
    <row r="11" spans="1:4" ht="21.95" customHeight="1" x14ac:dyDescent="0.25">
      <c r="A11" s="8" t="s">
        <v>88</v>
      </c>
      <c r="B11" s="9" t="s">
        <v>118</v>
      </c>
      <c r="C11" s="9" t="s">
        <v>119</v>
      </c>
      <c r="D11" s="11">
        <v>2</v>
      </c>
    </row>
  </sheetData>
  <autoFilter ref="A1:D1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8"/>
  <sheetViews>
    <sheetView workbookViewId="0">
      <pane ySplit="1" topLeftCell="A2" activePane="bottomLeft" state="frozen"/>
      <selection pane="bottomLeft" activeCell="D2" sqref="D2"/>
    </sheetView>
  </sheetViews>
  <sheetFormatPr defaultRowHeight="15" x14ac:dyDescent="0.25"/>
  <cols>
    <col min="1" max="2" width="14" customWidth="1"/>
    <col min="3" max="3" width="15" customWidth="1"/>
    <col min="4" max="4" width="45" customWidth="1"/>
    <col min="5" max="5" width="35" customWidth="1"/>
    <col min="6" max="6" width="14" customWidth="1"/>
    <col min="7" max="7" width="12" customWidth="1"/>
  </cols>
  <sheetData>
    <row r="1" spans="1:7" ht="27.95" customHeight="1" x14ac:dyDescent="0.25">
      <c r="A1" s="3" t="s">
        <v>120</v>
      </c>
      <c r="B1" s="3" t="s">
        <v>48</v>
      </c>
      <c r="C1" s="3" t="s">
        <v>2</v>
      </c>
      <c r="D1" s="3" t="s">
        <v>121</v>
      </c>
      <c r="E1" s="3" t="s">
        <v>122</v>
      </c>
      <c r="F1" s="3" t="s">
        <v>18</v>
      </c>
      <c r="G1" s="3" t="s">
        <v>3</v>
      </c>
    </row>
    <row r="2" spans="1:7" ht="21.95" customHeight="1" x14ac:dyDescent="0.25">
      <c r="A2" s="4" t="s">
        <v>123</v>
      </c>
      <c r="B2" s="4" t="s">
        <v>69</v>
      </c>
      <c r="C2" s="6" t="s">
        <v>6</v>
      </c>
      <c r="D2" s="6" t="s">
        <v>70</v>
      </c>
      <c r="E2" s="5" t="s">
        <v>124</v>
      </c>
      <c r="F2" s="7">
        <v>1</v>
      </c>
      <c r="G2" s="7" t="s">
        <v>5</v>
      </c>
    </row>
    <row r="3" spans="1:7" ht="21.95" customHeight="1" x14ac:dyDescent="0.25">
      <c r="A3" s="8" t="s">
        <v>125</v>
      </c>
      <c r="B3" s="8" t="s">
        <v>69</v>
      </c>
      <c r="C3" s="10" t="s">
        <v>9</v>
      </c>
      <c r="D3" s="10" t="s">
        <v>71</v>
      </c>
      <c r="E3" s="9" t="s">
        <v>126</v>
      </c>
      <c r="F3" s="11">
        <v>2</v>
      </c>
      <c r="G3" s="11" t="s">
        <v>5</v>
      </c>
    </row>
    <row r="4" spans="1:7" ht="21.95" customHeight="1" x14ac:dyDescent="0.25">
      <c r="A4" s="4" t="s">
        <v>127</v>
      </c>
      <c r="B4" s="4" t="s">
        <v>69</v>
      </c>
      <c r="C4" s="6" t="s">
        <v>11</v>
      </c>
      <c r="D4" s="6" t="s">
        <v>72</v>
      </c>
      <c r="E4" s="5" t="s">
        <v>128</v>
      </c>
      <c r="F4" s="7">
        <v>3</v>
      </c>
      <c r="G4" s="7" t="s">
        <v>5</v>
      </c>
    </row>
    <row r="5" spans="1:7" ht="21.95" customHeight="1" x14ac:dyDescent="0.25">
      <c r="A5" s="8" t="s">
        <v>129</v>
      </c>
      <c r="B5" s="8" t="s">
        <v>80</v>
      </c>
      <c r="C5" s="10" t="s">
        <v>6</v>
      </c>
      <c r="D5" s="10" t="s">
        <v>81</v>
      </c>
      <c r="E5" s="9" t="s">
        <v>130</v>
      </c>
      <c r="F5" s="11">
        <v>1</v>
      </c>
      <c r="G5" s="11" t="s">
        <v>5</v>
      </c>
    </row>
    <row r="6" spans="1:7" ht="21.95" customHeight="1" x14ac:dyDescent="0.25">
      <c r="A6" s="4" t="s">
        <v>131</v>
      </c>
      <c r="B6" s="4" t="s">
        <v>80</v>
      </c>
      <c r="C6" s="6" t="s">
        <v>9</v>
      </c>
      <c r="D6" s="6" t="s">
        <v>82</v>
      </c>
      <c r="E6" s="5" t="s">
        <v>132</v>
      </c>
      <c r="F6" s="7">
        <v>2</v>
      </c>
      <c r="G6" s="7" t="s">
        <v>5</v>
      </c>
    </row>
    <row r="7" spans="1:7" ht="21.95" customHeight="1" x14ac:dyDescent="0.25">
      <c r="A7" s="8" t="s">
        <v>133</v>
      </c>
      <c r="B7" s="8" t="s">
        <v>88</v>
      </c>
      <c r="C7" s="10" t="s">
        <v>6</v>
      </c>
      <c r="D7" s="10" t="s">
        <v>91</v>
      </c>
      <c r="E7" s="9" t="s">
        <v>134</v>
      </c>
      <c r="F7" s="11">
        <v>1</v>
      </c>
      <c r="G7" s="11" t="s">
        <v>5</v>
      </c>
    </row>
    <row r="8" spans="1:7" ht="21.95" customHeight="1" x14ac:dyDescent="0.25">
      <c r="A8" s="4" t="s">
        <v>135</v>
      </c>
      <c r="B8" s="4" t="s">
        <v>88</v>
      </c>
      <c r="C8" s="6" t="s">
        <v>11</v>
      </c>
      <c r="D8" s="6" t="s">
        <v>92</v>
      </c>
      <c r="E8" s="5" t="s">
        <v>136</v>
      </c>
      <c r="F8" s="7">
        <v>2</v>
      </c>
      <c r="G8" s="7" t="s">
        <v>5</v>
      </c>
    </row>
  </sheetData>
  <autoFilter ref="A1:G8" xr:uid="{00000000-0009-0000-0000-000004000000}"/>
  <pageMargins left="0.75" right="0.75" top="1" bottom="1" header="0.5" footer="0.5"/>
  <extLst>
    <ext xmlns:x14="http://schemas.microsoft.com/office/spreadsheetml/2009/9/main" uri="{CCE6A557-97BC-4b89-ADB6-D9C93CAAB3DF}">
      <x14:dataValidations xmlns:xm="http://schemas.microsoft.com/office/excel/2006/main" count="2">
        <x14:dataValidation type="list" allowBlank="1" xr:uid="{00000000-0002-0000-0400-000000000000}">
          <x14:formula1>
            <xm:f>_Lookups!$C$2:$C$5</xm:f>
          </x14:formula1>
          <xm:sqref>C2:C500</xm:sqref>
        </x14:dataValidation>
        <x14:dataValidation type="list" allowBlank="1" xr:uid="{00000000-0002-0000-0400-000001000000}">
          <x14:formula1>
            <xm:f>_Lookups!$B$2:$B$3</xm:f>
          </x14:formula1>
          <xm:sqref>F2:G100 G2:G500 I2:I500 L2:L500 U2:U500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7"/>
  <sheetViews>
    <sheetView workbookViewId="0">
      <pane ySplit="1" topLeftCell="A2" activePane="bottomLeft" state="frozen"/>
      <selection pane="bottomLeft" activeCell="F22" sqref="F22"/>
    </sheetView>
  </sheetViews>
  <sheetFormatPr defaultRowHeight="15" x14ac:dyDescent="0.25"/>
  <cols>
    <col min="1" max="2" width="14" customWidth="1"/>
    <col min="3" max="3" width="25" customWidth="1"/>
    <col min="4" max="4" width="16" customWidth="1"/>
    <col min="5" max="5" width="18" customWidth="1"/>
    <col min="6" max="6" width="16" customWidth="1"/>
    <col min="7" max="7" width="12" customWidth="1"/>
    <col min="8" max="8" width="45" customWidth="1"/>
  </cols>
  <sheetData>
    <row r="1" spans="1:8" ht="27.95" customHeight="1" x14ac:dyDescent="0.25">
      <c r="A1" s="3" t="s">
        <v>137</v>
      </c>
      <c r="B1" s="3" t="s">
        <v>48</v>
      </c>
      <c r="C1" s="3" t="s">
        <v>138</v>
      </c>
      <c r="D1" s="3" t="s">
        <v>139</v>
      </c>
      <c r="E1" s="3" t="s">
        <v>140</v>
      </c>
      <c r="F1" s="3" t="s">
        <v>141</v>
      </c>
      <c r="G1" s="3" t="s">
        <v>4</v>
      </c>
      <c r="H1" s="3" t="s">
        <v>121</v>
      </c>
    </row>
    <row r="2" spans="1:8" ht="21.95" customHeight="1" x14ac:dyDescent="0.25">
      <c r="A2" s="4" t="s">
        <v>142</v>
      </c>
      <c r="B2" s="4" t="s">
        <v>69</v>
      </c>
      <c r="C2" s="5" t="s">
        <v>143</v>
      </c>
      <c r="D2" s="5" t="s">
        <v>144</v>
      </c>
      <c r="E2" s="5" t="s">
        <v>145</v>
      </c>
      <c r="F2" s="12">
        <v>0</v>
      </c>
      <c r="G2" s="5" t="s">
        <v>5</v>
      </c>
      <c r="H2" s="6" t="s">
        <v>146</v>
      </c>
    </row>
    <row r="3" spans="1:8" ht="21.95" customHeight="1" x14ac:dyDescent="0.25">
      <c r="A3" s="8" t="s">
        <v>147</v>
      </c>
      <c r="B3" s="8" t="s">
        <v>69</v>
      </c>
      <c r="C3" s="9" t="s">
        <v>148</v>
      </c>
      <c r="D3" s="9" t="s">
        <v>144</v>
      </c>
      <c r="E3" s="9" t="s">
        <v>149</v>
      </c>
      <c r="F3" s="13">
        <v>0</v>
      </c>
      <c r="G3" s="9" t="s">
        <v>5</v>
      </c>
      <c r="H3" s="10" t="s">
        <v>150</v>
      </c>
    </row>
    <row r="4" spans="1:8" ht="21.95" customHeight="1" x14ac:dyDescent="0.25">
      <c r="A4" s="4" t="s">
        <v>151</v>
      </c>
      <c r="B4" s="4" t="s">
        <v>69</v>
      </c>
      <c r="C4" s="5" t="s">
        <v>152</v>
      </c>
      <c r="D4" s="5" t="s">
        <v>153</v>
      </c>
      <c r="E4" s="5" t="s">
        <v>154</v>
      </c>
      <c r="F4" s="12">
        <v>450</v>
      </c>
      <c r="G4" s="5" t="s">
        <v>5</v>
      </c>
      <c r="H4" s="6" t="s">
        <v>155</v>
      </c>
    </row>
    <row r="5" spans="1:8" ht="21.95" customHeight="1" x14ac:dyDescent="0.25">
      <c r="A5" s="8" t="s">
        <v>156</v>
      </c>
      <c r="B5" s="8" t="s">
        <v>80</v>
      </c>
      <c r="C5" s="9" t="s">
        <v>157</v>
      </c>
      <c r="D5" s="9" t="s">
        <v>144</v>
      </c>
      <c r="E5" s="9" t="s">
        <v>158</v>
      </c>
      <c r="F5" s="13">
        <v>0</v>
      </c>
      <c r="G5" s="9" t="s">
        <v>5</v>
      </c>
      <c r="H5" s="10" t="s">
        <v>159</v>
      </c>
    </row>
    <row r="6" spans="1:8" ht="21.95" customHeight="1" x14ac:dyDescent="0.25">
      <c r="A6" s="4" t="s">
        <v>160</v>
      </c>
      <c r="B6" s="4" t="s">
        <v>88</v>
      </c>
      <c r="C6" s="5" t="s">
        <v>161</v>
      </c>
      <c r="D6" s="5" t="s">
        <v>144</v>
      </c>
      <c r="E6" s="5" t="s">
        <v>162</v>
      </c>
      <c r="F6" s="12">
        <v>0</v>
      </c>
      <c r="G6" s="5" t="s">
        <v>5</v>
      </c>
      <c r="H6" s="6" t="s">
        <v>163</v>
      </c>
    </row>
    <row r="7" spans="1:8" ht="21.95" customHeight="1" x14ac:dyDescent="0.25">
      <c r="A7" s="8" t="s">
        <v>164</v>
      </c>
      <c r="B7" s="8" t="s">
        <v>88</v>
      </c>
      <c r="C7" s="9" t="s">
        <v>165</v>
      </c>
      <c r="D7" s="9" t="s">
        <v>144</v>
      </c>
      <c r="E7" s="9" t="s">
        <v>166</v>
      </c>
      <c r="F7" s="13">
        <v>0</v>
      </c>
      <c r="G7" s="9" t="s">
        <v>5</v>
      </c>
      <c r="H7" s="10" t="s">
        <v>167</v>
      </c>
    </row>
  </sheetData>
  <autoFilter ref="A1:H7" xr:uid="{00000000-0009-0000-0000-000005000000}"/>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500-000000000000}">
          <x14:formula1>
            <xm:f>_Lookups!$B$2:$B$3</xm:f>
          </x14:formula1>
          <xm:sqref>F2:G100 G2:G500 I2:I500 L2:L500 U2:U500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
  <sheetViews>
    <sheetView workbookViewId="0">
      <pane ySplit="1" topLeftCell="A2" activePane="bottomLeft" state="frozen"/>
      <selection pane="bottomLeft"/>
    </sheetView>
  </sheetViews>
  <sheetFormatPr defaultRowHeight="15" x14ac:dyDescent="0.25"/>
  <cols>
    <col min="1" max="1" width="24" customWidth="1"/>
    <col min="2" max="3" width="45" customWidth="1"/>
  </cols>
  <sheetData>
    <row r="1" spans="1:3" ht="27.95" customHeight="1" x14ac:dyDescent="0.25">
      <c r="A1" s="3" t="s">
        <v>168</v>
      </c>
      <c r="B1" s="3" t="s">
        <v>169</v>
      </c>
      <c r="C1" s="3" t="s">
        <v>170</v>
      </c>
    </row>
    <row r="2" spans="1:3" ht="21.95" customHeight="1" x14ac:dyDescent="0.25">
      <c r="A2" s="6" t="s">
        <v>171</v>
      </c>
      <c r="B2" s="5" t="s">
        <v>172</v>
      </c>
      <c r="C2" s="5" t="s">
        <v>173</v>
      </c>
    </row>
    <row r="3" spans="1:3" ht="21.95" customHeight="1" x14ac:dyDescent="0.25">
      <c r="A3" s="10" t="s">
        <v>174</v>
      </c>
      <c r="B3" s="9" t="s">
        <v>175</v>
      </c>
      <c r="C3" s="9" t="s">
        <v>176</v>
      </c>
    </row>
    <row r="4" spans="1:3" ht="21.95" customHeight="1" x14ac:dyDescent="0.25">
      <c r="A4" s="6" t="s">
        <v>177</v>
      </c>
      <c r="B4" s="5" t="s">
        <v>178</v>
      </c>
      <c r="C4" s="5" t="s">
        <v>179</v>
      </c>
    </row>
    <row r="5" spans="1:3" ht="21.95" customHeight="1" x14ac:dyDescent="0.25">
      <c r="A5" s="10" t="s">
        <v>180</v>
      </c>
      <c r="B5" s="9" t="s">
        <v>181</v>
      </c>
      <c r="C5" s="9" t="s">
        <v>182</v>
      </c>
    </row>
    <row r="6" spans="1:3" ht="21.95" customHeight="1" x14ac:dyDescent="0.25">
      <c r="A6" s="6" t="s">
        <v>183</v>
      </c>
      <c r="B6" s="5" t="s">
        <v>184</v>
      </c>
      <c r="C6" s="5" t="s">
        <v>185</v>
      </c>
    </row>
    <row r="7" spans="1:3" ht="21.95" customHeight="1" x14ac:dyDescent="0.25">
      <c r="A7" s="10" t="s">
        <v>186</v>
      </c>
      <c r="B7" s="9" t="s">
        <v>187</v>
      </c>
      <c r="C7" s="9" t="s">
        <v>188</v>
      </c>
    </row>
    <row r="8" spans="1:3" ht="21.95" customHeight="1" x14ac:dyDescent="0.25">
      <c r="A8" s="6" t="s">
        <v>189</v>
      </c>
      <c r="B8" s="5" t="s">
        <v>190</v>
      </c>
      <c r="C8" s="5" t="s">
        <v>191</v>
      </c>
    </row>
    <row r="9" spans="1:3" ht="21.95" customHeight="1" x14ac:dyDescent="0.25">
      <c r="A9" s="10" t="s">
        <v>192</v>
      </c>
      <c r="B9" s="9" t="s">
        <v>5</v>
      </c>
      <c r="C9" s="9" t="s">
        <v>193</v>
      </c>
    </row>
    <row r="10" spans="1:3" ht="21.95" customHeight="1" x14ac:dyDescent="0.25">
      <c r="A10" s="6" t="s">
        <v>194</v>
      </c>
      <c r="B10" s="5" t="s">
        <v>195</v>
      </c>
      <c r="C10" s="5" t="s">
        <v>196</v>
      </c>
    </row>
  </sheetData>
  <autoFilter ref="A1:C10"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_Lookups</vt:lpstr>
      <vt:lpstr>Categories</vt:lpstr>
      <vt:lpstr>Products</vt:lpstr>
      <vt:lpstr>ProductSpecs</vt:lpstr>
      <vt:lpstr>ProductImages</vt:lpstr>
      <vt:lpstr>ProductVariants</vt:lpstr>
      <vt:lpstr>WebsiteSettings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Smart</cp:lastModifiedBy>
  <dcterms:created xsi:type="dcterms:W3CDTF">2026-09-20T21:56:50Z</dcterms:created>
  <dcterms:modified xsi:type="dcterms:W3CDTF">2026-09-21T21:09:49Z</dcterms:modified>
</cp:coreProperties>
</file>